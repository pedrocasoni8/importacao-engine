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santos\OneDrive\Isabel\OneDrive\Desktop\"/>
    </mc:Choice>
  </mc:AlternateContent>
  <xr:revisionPtr revIDLastSave="0" documentId="8_{2737A55E-5709-4378-BBE2-BE49A43A3AFF}" xr6:coauthVersionLast="47" xr6:coauthVersionMax="47" xr10:uidLastSave="{00000000-0000-0000-0000-000000000000}"/>
  <bookViews>
    <workbookView xWindow="-120" yWindow="-120" windowWidth="20730" windowHeight="11040" xr2:uid="{064E50A8-10CB-40A5-8D3D-C0667C485387}"/>
  </bookViews>
  <sheets>
    <sheet name="MOD OVER " sheetId="1" r:id="rId1"/>
  </sheets>
  <definedNames>
    <definedName name="_xlnm._FilterDatabase" localSheetId="0" hidden="1">'MOD OVER '!$A$20:$T$67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62" i="1" s="1"/>
  <c r="C81" i="1" s="1"/>
  <c r="F83" i="1"/>
  <c r="E83" i="1"/>
  <c r="D83" i="1"/>
  <c r="B83" i="1"/>
  <c r="F82" i="1"/>
  <c r="E82" i="1"/>
  <c r="D82" i="1"/>
  <c r="C82" i="1"/>
  <c r="B82" i="1"/>
  <c r="F81" i="1"/>
  <c r="E81" i="1"/>
  <c r="D81" i="1"/>
  <c r="B81" i="1"/>
  <c r="F80" i="1"/>
  <c r="E80" i="1"/>
  <c r="D80" i="1"/>
  <c r="B80" i="1"/>
  <c r="F79" i="1"/>
  <c r="E79" i="1"/>
  <c r="D79" i="1"/>
  <c r="B79" i="1"/>
  <c r="F78" i="1"/>
  <c r="E78" i="1"/>
  <c r="D78" i="1"/>
  <c r="B78" i="1"/>
  <c r="F77" i="1"/>
  <c r="E77" i="1"/>
  <c r="D77" i="1"/>
  <c r="B77" i="1"/>
  <c r="F76" i="1"/>
  <c r="E76" i="1"/>
  <c r="D76" i="1"/>
  <c r="B76" i="1"/>
  <c r="F75" i="1"/>
  <c r="E75" i="1"/>
  <c r="D75" i="1"/>
  <c r="C75" i="1"/>
  <c r="B75" i="1"/>
  <c r="F74" i="1"/>
  <c r="E74" i="1"/>
  <c r="D74" i="1"/>
  <c r="B74" i="1"/>
  <c r="F73" i="1"/>
  <c r="E73" i="1"/>
  <c r="D73" i="1"/>
  <c r="B73" i="1"/>
  <c r="F72" i="1"/>
  <c r="E72" i="1"/>
  <c r="D72" i="1"/>
  <c r="B72" i="1"/>
  <c r="K67" i="1"/>
  <c r="N64" i="1"/>
  <c r="N60" i="1"/>
  <c r="N58" i="1"/>
  <c r="R52" i="1" s="1"/>
  <c r="C80" i="1" s="1"/>
  <c r="N38" i="1"/>
  <c r="C77" i="1" s="1"/>
  <c r="N36" i="1"/>
  <c r="C76" i="1" s="1"/>
  <c r="N34" i="1"/>
  <c r="N32" i="1"/>
  <c r="C74" i="1" s="1"/>
  <c r="N30" i="1"/>
  <c r="C73" i="1" s="1"/>
  <c r="N28" i="1"/>
  <c r="N26" i="1"/>
  <c r="S13" i="1"/>
  <c r="S11" i="1"/>
  <c r="S10" i="1"/>
  <c r="S9" i="1"/>
  <c r="F9" i="1"/>
  <c r="S8" i="1"/>
  <c r="L5" i="1"/>
  <c r="M5" i="1" s="1"/>
  <c r="M4" i="1"/>
  <c r="N42" i="1" s="1"/>
  <c r="M3" i="1"/>
  <c r="N46" i="1" s="1"/>
  <c r="C79" i="1" l="1"/>
  <c r="N48" i="1"/>
  <c r="R5" i="1"/>
  <c r="P69" i="1"/>
  <c r="M6" i="1"/>
  <c r="M15" i="1" s="1"/>
  <c r="P17" i="1" s="1"/>
  <c r="N40" i="1" s="1"/>
  <c r="C78" i="1" s="1"/>
  <c r="C72" i="1"/>
  <c r="N66" i="1" l="1"/>
  <c r="Q69" i="1"/>
  <c r="N69" i="1"/>
  <c r="R45" i="1"/>
  <c r="R66" i="1" l="1"/>
  <c r="C8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tc={4598B3FB-876C-4C04-9442-937DD651921A}</author>
  </authors>
  <commentList>
    <comment ref="P69" authorId="0" shapeId="0" xr:uid="{4598B3FB-876C-4C04-9442-937DD65192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Quando der negativo é saldo a receber.</t>
      </text>
    </comment>
  </commentList>
</comments>
</file>

<file path=xl/sharedStrings.xml><?xml version="1.0" encoding="utf-8"?>
<sst xmlns="http://schemas.openxmlformats.org/spreadsheetml/2006/main" count="83" uniqueCount="78">
  <si>
    <t xml:space="preserve">PROCESSO DE IMPORTAÇÃO </t>
  </si>
  <si>
    <t xml:space="preserve">Fornecedor: </t>
  </si>
  <si>
    <t>OVER OCEAN (17858)</t>
  </si>
  <si>
    <t>Frete</t>
  </si>
  <si>
    <t>Aqui são as informações da DI</t>
  </si>
  <si>
    <t>Seguro</t>
  </si>
  <si>
    <t>País:</t>
  </si>
  <si>
    <t xml:space="preserve">Mercadoria </t>
  </si>
  <si>
    <t xml:space="preserve">NF Entradas nº </t>
  </si>
  <si>
    <t>CIF:</t>
  </si>
  <si>
    <t>DI</t>
  </si>
  <si>
    <t>Sicomex</t>
  </si>
  <si>
    <t>VALORES DA NF</t>
  </si>
  <si>
    <t xml:space="preserve">Data Entrada: </t>
  </si>
  <si>
    <t>II</t>
  </si>
  <si>
    <t>Invoice:</t>
  </si>
  <si>
    <t>IPI</t>
  </si>
  <si>
    <t>PIS</t>
  </si>
  <si>
    <t>Dolar dos EUA</t>
  </si>
  <si>
    <t>COFINS</t>
  </si>
  <si>
    <t>ICMS</t>
  </si>
  <si>
    <t>AFRMM</t>
  </si>
  <si>
    <t>Outras Despesas</t>
  </si>
  <si>
    <t>Acrescimos de mercadoria</t>
  </si>
  <si>
    <t>Total N.F.</t>
  </si>
  <si>
    <t>VR.</t>
  </si>
  <si>
    <t>NOTA FISCAL</t>
  </si>
  <si>
    <t>D</t>
  </si>
  <si>
    <t>Merc. Import.</t>
  </si>
  <si>
    <t>C</t>
  </si>
  <si>
    <t>Fornec. Exterior</t>
  </si>
  <si>
    <t>LA</t>
  </si>
  <si>
    <t xml:space="preserve">Vr.adiant.importação de produto, cf. remessa de </t>
  </si>
  <si>
    <t>negativo</t>
  </si>
  <si>
    <t xml:space="preserve">                                                                      </t>
  </si>
  <si>
    <t xml:space="preserve">VR.TRANSFERÊNCIA DO DEMONSTRATIVO </t>
  </si>
  <si>
    <t>SD.A RECEBER REF. DESP./SERVIÇOS IMPORT. PRODUTO</t>
  </si>
  <si>
    <t>COMP. DO VALOR REF. ICMS  DA  DI</t>
  </si>
  <si>
    <t>COMP. DO VALOR REF.  PIS DA DI</t>
  </si>
  <si>
    <t>COMP. DO VALOR REF.  COFINS DA DI</t>
  </si>
  <si>
    <t>COMP. DO VALOR REF.  I.I. DA DI</t>
  </si>
  <si>
    <t>COMP. DO VALOR REF.  IPI. DA DI</t>
  </si>
  <si>
    <t>COMP. DO VALOR REF.  TAXA SISCOMEX DA DI</t>
  </si>
  <si>
    <t>COMP. DO VALOR REF.  AFRMM DA DI</t>
  </si>
  <si>
    <t xml:space="preserve">VR.OUTROS CUSTOS DA DI </t>
  </si>
  <si>
    <t>VR.REV. SEGURO MERC. IMPORTADA DI</t>
  </si>
  <si>
    <t>VR.REF. ARMAZENAGEM IMPORT. DI 16/0187648-5</t>
  </si>
  <si>
    <t>Valor que tem que ficar no fornecedor Internacional</t>
  </si>
  <si>
    <t>COMPENSAÇÃO DO ADIANT.IMPORTAÇÃO S/ FRETE DI</t>
  </si>
  <si>
    <t>VR.VAR.CAMBIAL ATIVA S/FRETE PRODUTO  IMPORTADA</t>
  </si>
  <si>
    <t xml:space="preserve"> </t>
  </si>
  <si>
    <t>COMP.SERV. PRESTADOS CF. NF.36082</t>
  </si>
  <si>
    <t>ATIVA ASSESSORIA</t>
  </si>
  <si>
    <t>Fonecedor Frete</t>
  </si>
  <si>
    <t xml:space="preserve">Comp.serv. prestados cf. nf. </t>
  </si>
  <si>
    <t>ATIVA ASSESSORIA - 10457</t>
  </si>
  <si>
    <t xml:space="preserve">Para lançamento da Importação lançar o valor liquido da Nota </t>
  </si>
  <si>
    <t>Vr. Pis/Cofins/CSLL ref. nf. Expeditors</t>
  </si>
  <si>
    <t xml:space="preserve">Vr.ref. outros custos import.DI  </t>
  </si>
  <si>
    <t>COMP.SERV. PRESTADOS CF. NF.1085384</t>
  </si>
  <si>
    <t>Armazenagem</t>
  </si>
  <si>
    <t>21689 - ITAPOA/21688 - PORTONAVE)</t>
  </si>
  <si>
    <t>Sd.a pagar ref. desp./serviços import.produto</t>
  </si>
  <si>
    <t>cf. fat/nota de despesa</t>
  </si>
  <si>
    <t>Pct:</t>
  </si>
  <si>
    <t>SALDO</t>
  </si>
  <si>
    <t>Obs: Se o saldo for a pagar, provisionar na contabilidade contra a conta 140 - Outras contas a pagar - Importação</t>
  </si>
  <si>
    <t>DATA</t>
  </si>
  <si>
    <t>VALOR</t>
  </si>
  <si>
    <t>DEBITO</t>
  </si>
  <si>
    <t>CREDITO</t>
  </si>
  <si>
    <t>HISTORICO</t>
  </si>
  <si>
    <t>Outros Custos</t>
  </si>
  <si>
    <t>*</t>
  </si>
  <si>
    <t># Liberação - frete sea</t>
  </si>
  <si>
    <t>Taxa Expediente</t>
  </si>
  <si>
    <t>Liberação BL</t>
  </si>
  <si>
    <t>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</si>
</sst>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$-409]#,##0.00"/>
    <numFmt numFmtId="165" formatCode="&quot;R$&quot;\ #,##0.00;[Red]&quot;R$&quot;\ #,##0.00"/>
    <numFmt numFmtId="166" formatCode="_(* #,##0.00_);_(* \(#,##0.00\);_(* &quot;-&quot;??_);_(@_)"/>
    <numFmt numFmtId="167" formatCode="dd/mm/yy;@"/>
    <numFmt numFmtId="168" formatCode="0.0000"/>
    <numFmt numFmtId="169" formatCode="_(&quot;R$ &quot;* #,##0.00_);_(&quot;R$ &quot;* \(#,##0.00\);_(&quot;R$ &quot;* &quot;-&quot;??_);_(@_)"/>
    <numFmt numFmtId="170" formatCode="&quot;R$&quot;\ #,##0.0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u/>
      <sz val="15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Times New Roman"/>
      <family val="1"/>
    </font>
    <font>
      <sz val="10"/>
      <color rgb="FFFF0000"/>
      <name val="Aptos Narrow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0"/>
      <name val="Segoe UI"/>
    </font>
    <font>
      <b/>
      <sz val="10"/>
      <name val="Segoe UI"/>
      <family val="2"/>
    </font>
    <font>
      <sz val="11"/>
      <color rgb="FF000000"/>
      <name val="Aptos Narrow"/>
    </font>
    <font>
      <sz val="12"/>
      <color indexed="10"/>
      <name val="Times New Roman"/>
      <family val="1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rgb="FF444444"/>
      <name val="Calibri"/>
      <charset val="1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u/>
      <sz val="11"/>
      <name val="Aptos Narrow"/>
      <family val="2"/>
      <scheme val="minor"/>
    </font>
    <font>
      <sz val="9"/>
      <name val="Aptos Narrow"/>
      <family val="2"/>
      <scheme val="minor"/>
    </font>
    <font>
      <sz val="9"/>
      <color indexed="81"/>
      <name val="Segoe UI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9" fontId="3" fillId="0" borderId="0" applyFont="0" applyFill="0" applyBorder="0" applyAlignment="0" applyProtection="0"/>
  </cellStyleXfs>
  <cellXfs count="207">
    <xf numFmtId="0" fontId="0" fillId="0" borderId="0" xfId="0"/>
    <xf numFmtId="0" fontId="4" fillId="2" borderId="0" xfId="3" applyFont="1" applyFill="1" applyAlignment="1">
      <alignment horizontal="center"/>
    </xf>
    <xf numFmtId="0" fontId="5" fillId="0" borderId="0" xfId="3" applyFont="1"/>
    <xf numFmtId="0" fontId="6" fillId="0" borderId="0" xfId="3" applyFont="1"/>
    <xf numFmtId="0" fontId="6" fillId="0" borderId="0" xfId="0" applyFont="1"/>
    <xf numFmtId="0" fontId="7" fillId="3" borderId="1" xfId="3" applyFont="1" applyFill="1" applyBorder="1" applyAlignment="1">
      <alignment horizontal="center"/>
    </xf>
    <xf numFmtId="0" fontId="8" fillId="3" borderId="2" xfId="0" applyFont="1" applyFill="1" applyBorder="1"/>
    <xf numFmtId="0" fontId="8" fillId="3" borderId="3" xfId="0" applyFont="1" applyFill="1" applyBorder="1"/>
    <xf numFmtId="0" fontId="8" fillId="3" borderId="4" xfId="0" applyFont="1" applyFill="1" applyBorder="1"/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4" fontId="0" fillId="4" borderId="0" xfId="0" applyNumberFormat="1" applyFill="1"/>
    <xf numFmtId="44" fontId="8" fillId="2" borderId="5" xfId="2" applyFont="1" applyFill="1" applyBorder="1" applyAlignment="1">
      <alignment horizontal="center"/>
    </xf>
    <xf numFmtId="0" fontId="7" fillId="0" borderId="0" xfId="3" applyFont="1"/>
    <xf numFmtId="0" fontId="9" fillId="0" borderId="0" xfId="3" applyFont="1"/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164" fontId="8" fillId="4" borderId="5" xfId="0" applyNumberFormat="1" applyFont="1" applyFill="1" applyBorder="1"/>
    <xf numFmtId="164" fontId="8" fillId="3" borderId="5" xfId="0" applyNumberFormat="1" applyFont="1" applyFill="1" applyBorder="1"/>
    <xf numFmtId="44" fontId="8" fillId="2" borderId="2" xfId="2" applyFont="1" applyFill="1" applyBorder="1" applyAlignment="1">
      <alignment horizontal="right"/>
    </xf>
    <xf numFmtId="44" fontId="8" fillId="2" borderId="3" xfId="2" applyFont="1" applyFill="1" applyBorder="1" applyAlignment="1">
      <alignment horizontal="right"/>
    </xf>
    <xf numFmtId="44" fontId="8" fillId="2" borderId="4" xfId="2" applyFont="1" applyFill="1" applyBorder="1" applyAlignment="1">
      <alignment horizontal="right"/>
    </xf>
    <xf numFmtId="165" fontId="6" fillId="2" borderId="0" xfId="3" applyNumberFormat="1" applyFont="1" applyFill="1"/>
    <xf numFmtId="3" fontId="8" fillId="3" borderId="3" xfId="0" applyNumberFormat="1" applyFont="1" applyFill="1" applyBorder="1" applyAlignment="1">
      <alignment horizontal="left"/>
    </xf>
    <xf numFmtId="3" fontId="8" fillId="3" borderId="3" xfId="0" applyNumberFormat="1" applyFont="1" applyFill="1" applyBorder="1"/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44" fontId="11" fillId="2" borderId="5" xfId="2" applyFont="1" applyFill="1" applyBorder="1" applyAlignment="1">
      <alignment horizontal="center"/>
    </xf>
    <xf numFmtId="166" fontId="7" fillId="0" borderId="0" xfId="4" applyFont="1"/>
    <xf numFmtId="0" fontId="11" fillId="3" borderId="2" xfId="0" applyFont="1" applyFill="1" applyBorder="1"/>
    <xf numFmtId="0" fontId="12" fillId="0" borderId="5" xfId="0" applyFont="1" applyBorder="1"/>
    <xf numFmtId="0" fontId="11" fillId="3" borderId="3" xfId="0" applyFont="1" applyFill="1" applyBorder="1"/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/>
    <xf numFmtId="0" fontId="8" fillId="3" borderId="5" xfId="0" applyFont="1" applyFill="1" applyBorder="1" applyAlignment="1">
      <alignment horizontal="left"/>
    </xf>
    <xf numFmtId="44" fontId="8" fillId="4" borderId="5" xfId="2" applyFont="1" applyFill="1" applyBorder="1" applyAlignment="1">
      <alignment horizontal="center"/>
    </xf>
    <xf numFmtId="0" fontId="6" fillId="5" borderId="6" xfId="3" applyFont="1" applyFill="1" applyBorder="1" applyAlignment="1">
      <alignment horizontal="center"/>
    </xf>
    <xf numFmtId="167" fontId="8" fillId="0" borderId="3" xfId="0" applyNumberFormat="1" applyFont="1" applyBorder="1" applyAlignment="1">
      <alignment horizontal="left"/>
    </xf>
    <xf numFmtId="44" fontId="8" fillId="4" borderId="2" xfId="2" applyFont="1" applyFill="1" applyBorder="1" applyAlignment="1">
      <alignment horizontal="center"/>
    </xf>
    <xf numFmtId="44" fontId="8" fillId="4" borderId="3" xfId="2" applyFont="1" applyFill="1" applyBorder="1" applyAlignment="1">
      <alignment horizontal="center"/>
    </xf>
    <xf numFmtId="44" fontId="8" fillId="4" borderId="4" xfId="2" applyFont="1" applyFill="1" applyBorder="1" applyAlignment="1">
      <alignment horizontal="center"/>
    </xf>
    <xf numFmtId="0" fontId="6" fillId="0" borderId="7" xfId="3" applyFont="1" applyBorder="1"/>
    <xf numFmtId="44" fontId="5" fillId="0" borderId="0" xfId="3" applyNumberFormat="1" applyFont="1"/>
    <xf numFmtId="0" fontId="8" fillId="3" borderId="8" xfId="0" applyFont="1" applyFill="1" applyBorder="1"/>
    <xf numFmtId="0" fontId="13" fillId="6" borderId="5" xfId="0" applyFont="1" applyFill="1" applyBorder="1"/>
    <xf numFmtId="0" fontId="14" fillId="0" borderId="0" xfId="0" applyFont="1"/>
    <xf numFmtId="0" fontId="8" fillId="3" borderId="0" xfId="0" applyFont="1" applyFill="1"/>
    <xf numFmtId="7" fontId="8" fillId="2" borderId="0" xfId="0" applyNumberFormat="1" applyFont="1" applyFill="1" applyAlignment="1">
      <alignment horizontal="center"/>
    </xf>
    <xf numFmtId="0" fontId="8" fillId="3" borderId="9" xfId="0" applyFont="1" applyFill="1" applyBorder="1"/>
    <xf numFmtId="0" fontId="15" fillId="3" borderId="2" xfId="0" applyFont="1" applyFill="1" applyBorder="1"/>
    <xf numFmtId="0" fontId="15" fillId="3" borderId="3" xfId="0" applyFont="1" applyFill="1" applyBorder="1"/>
    <xf numFmtId="0" fontId="15" fillId="3" borderId="10" xfId="0" applyFont="1" applyFill="1" applyBorder="1"/>
    <xf numFmtId="165" fontId="8" fillId="0" borderId="10" xfId="0" applyNumberFormat="1" applyFont="1" applyBorder="1" applyAlignment="1">
      <alignment horizontal="center"/>
    </xf>
    <xf numFmtId="0" fontId="15" fillId="3" borderId="4" xfId="0" applyFont="1" applyFill="1" applyBorder="1"/>
    <xf numFmtId="168" fontId="8" fillId="4" borderId="3" xfId="0" applyNumberFormat="1" applyFont="1" applyFill="1" applyBorder="1" applyAlignment="1">
      <alignment horizontal="center"/>
    </xf>
    <xf numFmtId="0" fontId="8" fillId="3" borderId="10" xfId="0" applyFont="1" applyFill="1" applyBorder="1"/>
    <xf numFmtId="0" fontId="8" fillId="3" borderId="11" xfId="0" applyFont="1" applyFill="1" applyBorder="1"/>
    <xf numFmtId="0" fontId="8" fillId="3" borderId="12" xfId="0" applyFont="1" applyFill="1" applyBorder="1"/>
    <xf numFmtId="0" fontId="8" fillId="3" borderId="1" xfId="0" applyFont="1" applyFill="1" applyBorder="1"/>
    <xf numFmtId="168" fontId="8" fillId="3" borderId="1" xfId="0" applyNumberFormat="1" applyFont="1" applyFill="1" applyBorder="1" applyAlignment="1">
      <alignment horizontal="left"/>
    </xf>
    <xf numFmtId="44" fontId="8" fillId="7" borderId="5" xfId="2" applyFont="1" applyFill="1" applyBorder="1" applyAlignment="1">
      <alignment horizontal="center"/>
    </xf>
    <xf numFmtId="0" fontId="6" fillId="0" borderId="7" xfId="0" applyFont="1" applyBorder="1"/>
    <xf numFmtId="0" fontId="16" fillId="0" borderId="0" xfId="3" applyFont="1" applyAlignment="1">
      <alignment horizontal="center"/>
    </xf>
    <xf numFmtId="0" fontId="2" fillId="0" borderId="13" xfId="3" applyFont="1" applyBorder="1"/>
    <xf numFmtId="43" fontId="16" fillId="0" borderId="0" xfId="1" applyFont="1" applyAlignment="1">
      <alignment horizontal="left"/>
    </xf>
    <xf numFmtId="166" fontId="17" fillId="0" borderId="0" xfId="3" applyNumberFormat="1" applyFont="1" applyAlignment="1">
      <alignment horizontal="left"/>
    </xf>
    <xf numFmtId="166" fontId="16" fillId="0" borderId="10" xfId="4" applyFont="1" applyBorder="1"/>
    <xf numFmtId="166" fontId="18" fillId="0" borderId="10" xfId="4" applyFont="1" applyBorder="1"/>
    <xf numFmtId="166" fontId="7" fillId="0" borderId="10" xfId="4" applyFont="1" applyBorder="1"/>
    <xf numFmtId="0" fontId="19" fillId="0" borderId="0" xfId="0" applyFont="1"/>
    <xf numFmtId="166" fontId="16" fillId="0" borderId="10" xfId="4" applyFont="1" applyBorder="1" applyAlignment="1">
      <alignment horizontal="center"/>
    </xf>
    <xf numFmtId="166" fontId="17" fillId="2" borderId="5" xfId="4" applyFont="1" applyFill="1" applyBorder="1" applyAlignment="1">
      <alignment horizontal="center"/>
    </xf>
    <xf numFmtId="0" fontId="17" fillId="2" borderId="5" xfId="3" applyFont="1" applyFill="1" applyBorder="1" applyAlignment="1">
      <alignment horizontal="center"/>
    </xf>
    <xf numFmtId="43" fontId="16" fillId="4" borderId="5" xfId="1" applyFont="1" applyFill="1" applyBorder="1" applyAlignment="1">
      <alignment horizontal="left"/>
    </xf>
    <xf numFmtId="166" fontId="20" fillId="0" borderId="0" xfId="4" applyFont="1" applyAlignment="1">
      <alignment horizontal="left"/>
    </xf>
    <xf numFmtId="166" fontId="7" fillId="0" borderId="0" xfId="4" applyFont="1" applyAlignment="1">
      <alignment horizontal="center"/>
    </xf>
    <xf numFmtId="166" fontId="21" fillId="2" borderId="14" xfId="3" applyNumberFormat="1" applyFont="1" applyFill="1" applyBorder="1" applyAlignment="1">
      <alignment horizontal="center" vertical="center"/>
    </xf>
    <xf numFmtId="166" fontId="21" fillId="2" borderId="15" xfId="3" applyNumberFormat="1" applyFont="1" applyFill="1" applyBorder="1" applyAlignment="1">
      <alignment horizontal="center" vertical="center"/>
    </xf>
    <xf numFmtId="0" fontId="7" fillId="0" borderId="0" xfId="3" applyFont="1" applyAlignment="1">
      <alignment horizontal="left"/>
    </xf>
    <xf numFmtId="168" fontId="7" fillId="0" borderId="0" xfId="3" applyNumberFormat="1" applyFont="1"/>
    <xf numFmtId="0" fontId="7" fillId="3" borderId="0" xfId="3" applyFont="1" applyFill="1"/>
    <xf numFmtId="0" fontId="7" fillId="3" borderId="0" xfId="3" applyFont="1" applyFill="1" applyAlignment="1">
      <alignment horizontal="left"/>
    </xf>
    <xf numFmtId="169" fontId="16" fillId="0" borderId="0" xfId="5" applyFont="1" applyAlignment="1">
      <alignment horizontal="center"/>
    </xf>
    <xf numFmtId="0" fontId="6" fillId="3" borderId="16" xfId="3" applyFont="1" applyFill="1" applyBorder="1" applyAlignment="1">
      <alignment horizontal="center"/>
    </xf>
    <xf numFmtId="0" fontId="6" fillId="3" borderId="17" xfId="3" applyFont="1" applyFill="1" applyBorder="1" applyAlignment="1">
      <alignment horizontal="center"/>
    </xf>
    <xf numFmtId="0" fontId="6" fillId="8" borderId="17" xfId="3" applyFont="1" applyFill="1" applyBorder="1" applyAlignment="1">
      <alignment horizontal="center"/>
    </xf>
    <xf numFmtId="0" fontId="6" fillId="0" borderId="18" xfId="3" applyFont="1" applyBorder="1"/>
    <xf numFmtId="0" fontId="6" fillId="0" borderId="19" xfId="3" applyFont="1" applyBorder="1"/>
    <xf numFmtId="0" fontId="6" fillId="0" borderId="16" xfId="3" applyFont="1" applyBorder="1"/>
    <xf numFmtId="169" fontId="16" fillId="4" borderId="17" xfId="5" applyFont="1" applyFill="1" applyBorder="1" applyAlignment="1">
      <alignment horizontal="center"/>
    </xf>
    <xf numFmtId="169" fontId="16" fillId="4" borderId="18" xfId="5" applyFont="1" applyFill="1" applyBorder="1" applyAlignment="1">
      <alignment horizontal="center"/>
    </xf>
    <xf numFmtId="14" fontId="5" fillId="0" borderId="0" xfId="3" applyNumberFormat="1" applyFont="1"/>
    <xf numFmtId="169" fontId="7" fillId="0" borderId="17" xfId="5" applyFont="1" applyBorder="1" applyAlignment="1">
      <alignment horizontal="center"/>
    </xf>
    <xf numFmtId="169" fontId="7" fillId="0" borderId="18" xfId="5" applyFont="1" applyBorder="1" applyAlignment="1">
      <alignment horizontal="center"/>
    </xf>
    <xf numFmtId="0" fontId="6" fillId="3" borderId="18" xfId="3" applyFont="1" applyFill="1" applyBorder="1" applyAlignment="1">
      <alignment horizontal="center"/>
    </xf>
    <xf numFmtId="0" fontId="6" fillId="0" borderId="19" xfId="3" applyFont="1" applyBorder="1"/>
    <xf numFmtId="0" fontId="6" fillId="0" borderId="16" xfId="3" applyFont="1" applyBorder="1"/>
    <xf numFmtId="169" fontId="7" fillId="0" borderId="18" xfId="0" applyNumberFormat="1" applyFont="1" applyBorder="1" applyAlignment="1">
      <alignment horizontal="center"/>
    </xf>
    <xf numFmtId="169" fontId="7" fillId="0" borderId="19" xfId="0" applyNumberFormat="1" applyFont="1" applyBorder="1" applyAlignment="1">
      <alignment horizontal="center"/>
    </xf>
    <xf numFmtId="0" fontId="6" fillId="3" borderId="19" xfId="3" applyFont="1" applyFill="1" applyBorder="1" applyAlignment="1">
      <alignment horizontal="center"/>
    </xf>
    <xf numFmtId="0" fontId="6" fillId="3" borderId="19" xfId="3" applyFont="1" applyFill="1" applyBorder="1" applyAlignment="1">
      <alignment horizontal="center"/>
    </xf>
    <xf numFmtId="0" fontId="6" fillId="3" borderId="16" xfId="3" applyFont="1" applyFill="1" applyBorder="1" applyAlignment="1">
      <alignment horizontal="center"/>
    </xf>
    <xf numFmtId="0" fontId="6" fillId="0" borderId="18" xfId="3" applyFont="1" applyBorder="1"/>
    <xf numFmtId="169" fontId="7" fillId="0" borderId="19" xfId="5" applyFont="1" applyBorder="1" applyAlignment="1">
      <alignment horizontal="center"/>
    </xf>
    <xf numFmtId="169" fontId="7" fillId="3" borderId="0" xfId="5" applyFont="1" applyFill="1"/>
    <xf numFmtId="14" fontId="6" fillId="0" borderId="19" xfId="3" applyNumberFormat="1" applyFont="1" applyBorder="1"/>
    <xf numFmtId="169" fontId="7" fillId="4" borderId="17" xfId="5" applyFont="1" applyFill="1" applyBorder="1" applyAlignment="1">
      <alignment horizontal="center"/>
    </xf>
    <xf numFmtId="169" fontId="7" fillId="4" borderId="18" xfId="5" applyFont="1" applyFill="1" applyBorder="1" applyAlignment="1">
      <alignment horizontal="center"/>
    </xf>
    <xf numFmtId="43" fontId="5" fillId="0" borderId="0" xfId="3" applyNumberFormat="1" applyFont="1"/>
    <xf numFmtId="0" fontId="7" fillId="0" borderId="0" xfId="0" applyFont="1"/>
    <xf numFmtId="0" fontId="7" fillId="0" borderId="19" xfId="0" applyFont="1" applyBorder="1" applyAlignment="1">
      <alignment horizontal="center"/>
    </xf>
    <xf numFmtId="14" fontId="6" fillId="0" borderId="19" xfId="3" applyNumberFormat="1" applyFont="1" applyBorder="1" applyAlignment="1">
      <alignment horizontal="center"/>
    </xf>
    <xf numFmtId="169" fontId="7" fillId="4" borderId="19" xfId="5" applyFont="1" applyFill="1" applyBorder="1" applyAlignment="1">
      <alignment horizontal="center"/>
    </xf>
    <xf numFmtId="169" fontId="7" fillId="7" borderId="18" xfId="5" applyFont="1" applyFill="1" applyBorder="1" applyAlignment="1">
      <alignment horizontal="center"/>
    </xf>
    <xf numFmtId="169" fontId="7" fillId="7" borderId="19" xfId="5" applyFont="1" applyFill="1" applyBorder="1" applyAlignment="1">
      <alignment horizontal="center"/>
    </xf>
    <xf numFmtId="169" fontId="7" fillId="0" borderId="18" xfId="5" applyFont="1" applyBorder="1" applyAlignment="1">
      <alignment horizontal="center"/>
    </xf>
    <xf numFmtId="44" fontId="7" fillId="0" borderId="19" xfId="2" applyFont="1" applyBorder="1" applyAlignment="1">
      <alignment horizontal="center"/>
    </xf>
    <xf numFmtId="0" fontId="6" fillId="3" borderId="17" xfId="3" applyFont="1" applyFill="1" applyBorder="1" applyAlignment="1">
      <alignment horizontal="center"/>
    </xf>
    <xf numFmtId="169" fontId="7" fillId="0" borderId="19" xfId="5" applyFont="1" applyBorder="1" applyAlignment="1">
      <alignment horizontal="center"/>
    </xf>
    <xf numFmtId="43" fontId="6" fillId="2" borderId="0" xfId="3" applyNumberFormat="1" applyFont="1" applyFill="1"/>
    <xf numFmtId="169" fontId="7" fillId="2" borderId="18" xfId="5" applyFont="1" applyFill="1" applyBorder="1" applyAlignment="1">
      <alignment horizontal="center"/>
    </xf>
    <xf numFmtId="169" fontId="7" fillId="2" borderId="19" xfId="5" applyFont="1" applyFill="1" applyBorder="1" applyAlignment="1">
      <alignment horizontal="center"/>
    </xf>
    <xf numFmtId="0" fontId="22" fillId="0" borderId="18" xfId="3" applyFont="1" applyBorder="1"/>
    <xf numFmtId="0" fontId="22" fillId="0" borderId="19" xfId="3" applyFont="1" applyBorder="1"/>
    <xf numFmtId="0" fontId="22" fillId="0" borderId="16" xfId="3" applyFont="1" applyBorder="1"/>
    <xf numFmtId="169" fontId="7" fillId="9" borderId="17" xfId="5" applyFont="1" applyFill="1" applyBorder="1" applyAlignment="1">
      <alignment horizontal="center"/>
    </xf>
    <xf numFmtId="169" fontId="7" fillId="9" borderId="18" xfId="5" applyFont="1" applyFill="1" applyBorder="1" applyAlignment="1">
      <alignment horizontal="center"/>
    </xf>
    <xf numFmtId="0" fontId="6" fillId="4" borderId="19" xfId="3" applyFont="1" applyFill="1" applyBorder="1" applyAlignment="1">
      <alignment horizontal="center"/>
    </xf>
    <xf numFmtId="0" fontId="6" fillId="4" borderId="16" xfId="3" applyFont="1" applyFill="1" applyBorder="1" applyAlignment="1">
      <alignment horizontal="center"/>
    </xf>
    <xf numFmtId="0" fontId="6" fillId="0" borderId="18" xfId="3" applyFont="1" applyBorder="1" applyAlignment="1">
      <alignment horizontal="left"/>
    </xf>
    <xf numFmtId="0" fontId="6" fillId="0" borderId="19" xfId="3" applyFont="1" applyBorder="1" applyAlignment="1">
      <alignment horizontal="left"/>
    </xf>
    <xf numFmtId="0" fontId="17" fillId="4" borderId="19" xfId="3" applyFont="1" applyFill="1" applyBorder="1" applyAlignment="1">
      <alignment horizontal="center"/>
    </xf>
    <xf numFmtId="0" fontId="23" fillId="0" borderId="0" xfId="3" applyFont="1"/>
    <xf numFmtId="0" fontId="6" fillId="0" borderId="19" xfId="3" applyFont="1" applyBorder="1" applyAlignment="1">
      <alignment horizontal="left"/>
    </xf>
    <xf numFmtId="0" fontId="6" fillId="0" borderId="16" xfId="3" applyFont="1" applyBorder="1" applyAlignment="1">
      <alignment horizontal="left"/>
    </xf>
    <xf numFmtId="43" fontId="6" fillId="4" borderId="0" xfId="0" applyNumberFormat="1" applyFont="1" applyFill="1"/>
    <xf numFmtId="169" fontId="7" fillId="0" borderId="17" xfId="5" applyFont="1" applyBorder="1" applyAlignment="1">
      <alignment horizontal="center"/>
    </xf>
    <xf numFmtId="0" fontId="9" fillId="0" borderId="0" xfId="0" applyFont="1"/>
    <xf numFmtId="0" fontId="6" fillId="3" borderId="18" xfId="3" applyFont="1" applyFill="1" applyBorder="1" applyAlignment="1">
      <alignment horizontal="center"/>
    </xf>
    <xf numFmtId="0" fontId="6" fillId="0" borderId="16" xfId="3" applyFont="1" applyBorder="1" applyAlignment="1">
      <alignment horizontal="left"/>
    </xf>
    <xf numFmtId="0" fontId="17" fillId="0" borderId="19" xfId="3" applyFont="1" applyBorder="1" applyAlignment="1">
      <alignment horizontal="center"/>
    </xf>
    <xf numFmtId="0" fontId="6" fillId="0" borderId="19" xfId="3" applyFont="1" applyBorder="1" applyAlignment="1">
      <alignment horizontal="center"/>
    </xf>
    <xf numFmtId="14" fontId="17" fillId="0" borderId="19" xfId="3" applyNumberFormat="1" applyFont="1" applyBorder="1"/>
    <xf numFmtId="0" fontId="6" fillId="4" borderId="17" xfId="3" applyFont="1" applyFill="1" applyBorder="1" applyAlignment="1">
      <alignment horizontal="center"/>
    </xf>
    <xf numFmtId="0" fontId="0" fillId="0" borderId="18" xfId="3" applyFont="1" applyBorder="1" applyAlignment="1">
      <alignment horizontal="left"/>
    </xf>
    <xf numFmtId="0" fontId="0" fillId="0" borderId="19" xfId="3" applyFont="1" applyBorder="1" applyAlignment="1">
      <alignment horizontal="left"/>
    </xf>
    <xf numFmtId="0" fontId="7" fillId="3" borderId="19" xfId="3" applyFont="1" applyFill="1" applyBorder="1" applyAlignment="1">
      <alignment horizontal="center"/>
    </xf>
    <xf numFmtId="0" fontId="7" fillId="3" borderId="16" xfId="3" applyFont="1" applyFill="1" applyBorder="1" applyAlignment="1">
      <alignment horizontal="center"/>
    </xf>
    <xf numFmtId="0" fontId="7" fillId="8" borderId="17" xfId="3" applyFont="1" applyFill="1" applyBorder="1" applyAlignment="1">
      <alignment horizontal="center"/>
    </xf>
    <xf numFmtId="0" fontId="7" fillId="0" borderId="18" xfId="3" applyFont="1" applyBorder="1"/>
    <xf numFmtId="0" fontId="7" fillId="0" borderId="19" xfId="3" applyFont="1" applyBorder="1"/>
    <xf numFmtId="0" fontId="7" fillId="0" borderId="16" xfId="3" applyFont="1" applyBorder="1"/>
    <xf numFmtId="0" fontId="7" fillId="3" borderId="16" xfId="3" applyFont="1" applyFill="1" applyBorder="1" applyAlignment="1">
      <alignment horizontal="center"/>
    </xf>
    <xf numFmtId="0" fontId="7" fillId="3" borderId="17" xfId="3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7" fillId="3" borderId="18" xfId="0" applyFont="1" applyFill="1" applyBorder="1"/>
    <xf numFmtId="0" fontId="7" fillId="3" borderId="19" xfId="0" applyFont="1" applyFill="1" applyBorder="1"/>
    <xf numFmtId="0" fontId="7" fillId="3" borderId="16" xfId="0" applyFont="1" applyFill="1" applyBorder="1"/>
    <xf numFmtId="44" fontId="7" fillId="4" borderId="17" xfId="2" applyFont="1" applyFill="1" applyBorder="1" applyAlignment="1">
      <alignment horizontal="center"/>
    </xf>
    <xf numFmtId="44" fontId="7" fillId="4" borderId="18" xfId="2" applyFont="1" applyFill="1" applyBorder="1" applyAlignment="1">
      <alignment horizontal="center"/>
    </xf>
    <xf numFmtId="44" fontId="24" fillId="0" borderId="0" xfId="0" applyNumberFormat="1" applyFont="1"/>
    <xf numFmtId="0" fontId="7" fillId="3" borderId="17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44" fontId="7" fillId="3" borderId="17" xfId="2" applyFont="1" applyFill="1" applyBorder="1" applyAlignment="1">
      <alignment horizontal="center"/>
    </xf>
    <xf numFmtId="44" fontId="7" fillId="3" borderId="18" xfId="2" applyFont="1" applyFill="1" applyBorder="1" applyAlignment="1">
      <alignment horizontal="center"/>
    </xf>
    <xf numFmtId="0" fontId="7" fillId="3" borderId="19" xfId="3" applyFont="1" applyFill="1" applyBorder="1" applyAlignment="1">
      <alignment horizontal="center"/>
    </xf>
    <xf numFmtId="0" fontId="7" fillId="0" borderId="18" xfId="3" applyFont="1" applyBorder="1" applyAlignment="1">
      <alignment horizontal="left"/>
    </xf>
    <xf numFmtId="0" fontId="7" fillId="0" borderId="19" xfId="3" applyFont="1" applyBorder="1" applyAlignment="1">
      <alignment horizontal="left"/>
    </xf>
    <xf numFmtId="0" fontId="7" fillId="0" borderId="16" xfId="3" applyFont="1" applyBorder="1" applyAlignment="1">
      <alignment horizontal="left"/>
    </xf>
    <xf numFmtId="0" fontId="7" fillId="8" borderId="19" xfId="3" applyFont="1" applyFill="1" applyBorder="1" applyAlignment="1">
      <alignment horizontal="center"/>
    </xf>
    <xf numFmtId="0" fontId="16" fillId="0" borderId="19" xfId="3" applyFont="1" applyBorder="1" applyAlignment="1">
      <alignment horizontal="center"/>
    </xf>
    <xf numFmtId="169" fontId="16" fillId="0" borderId="19" xfId="5" applyFont="1" applyBorder="1" applyAlignment="1">
      <alignment horizontal="center"/>
    </xf>
    <xf numFmtId="43" fontId="16" fillId="0" borderId="19" xfId="5" applyNumberFormat="1" applyFont="1" applyBorder="1" applyAlignment="1">
      <alignment horizontal="center"/>
    </xf>
    <xf numFmtId="0" fontId="25" fillId="0" borderId="0" xfId="3" applyFont="1"/>
    <xf numFmtId="0" fontId="26" fillId="0" borderId="0" xfId="0" applyFont="1"/>
    <xf numFmtId="43" fontId="16" fillId="0" borderId="0" xfId="0" applyNumberFormat="1" applyFont="1" applyAlignment="1">
      <alignment horizontal="center"/>
    </xf>
    <xf numFmtId="0" fontId="27" fillId="0" borderId="0" xfId="3" applyFont="1" applyAlignment="1">
      <alignment vertical="center"/>
    </xf>
    <xf numFmtId="0" fontId="7" fillId="0" borderId="0" xfId="3" applyFont="1" applyAlignment="1">
      <alignment vertical="center" wrapText="1"/>
    </xf>
    <xf numFmtId="0" fontId="17" fillId="0" borderId="2" xfId="3" applyFont="1" applyBorder="1" applyAlignment="1">
      <alignment horizontal="center"/>
    </xf>
    <xf numFmtId="0" fontId="17" fillId="0" borderId="4" xfId="3" applyFont="1" applyBorder="1" applyAlignment="1">
      <alignment horizontal="center"/>
    </xf>
    <xf numFmtId="0" fontId="6" fillId="0" borderId="0" xfId="3" applyFont="1" applyAlignment="1">
      <alignment vertical="center" wrapText="1"/>
    </xf>
    <xf numFmtId="167" fontId="6" fillId="0" borderId="0" xfId="0" applyNumberFormat="1" applyFont="1"/>
    <xf numFmtId="169" fontId="6" fillId="0" borderId="0" xfId="0" applyNumberFormat="1" applyFont="1"/>
    <xf numFmtId="16" fontId="6" fillId="0" borderId="0" xfId="0" applyNumberFormat="1" applyFont="1"/>
    <xf numFmtId="0" fontId="2" fillId="0" borderId="0" xfId="0" applyFont="1"/>
    <xf numFmtId="0" fontId="20" fillId="0" borderId="0" xfId="0" applyFont="1"/>
    <xf numFmtId="44" fontId="6" fillId="4" borderId="8" xfId="2" applyFont="1" applyFill="1" applyBorder="1"/>
    <xf numFmtId="0" fontId="5" fillId="0" borderId="9" xfId="3" applyFont="1" applyBorder="1"/>
    <xf numFmtId="16" fontId="5" fillId="0" borderId="0" xfId="3" applyNumberFormat="1" applyFont="1"/>
    <xf numFmtId="44" fontId="6" fillId="4" borderId="8" xfId="2" applyFont="1" applyFill="1" applyBorder="1" applyAlignment="1">
      <alignment horizontal="right"/>
    </xf>
    <xf numFmtId="0" fontId="6" fillId="0" borderId="0" xfId="3" applyFont="1" applyAlignment="1">
      <alignment horizontal="right" vertical="center" wrapText="1"/>
    </xf>
    <xf numFmtId="44" fontId="6" fillId="2" borderId="8" xfId="2" applyFont="1" applyFill="1" applyBorder="1"/>
    <xf numFmtId="0" fontId="6" fillId="0" borderId="0" xfId="0" applyFont="1" applyAlignment="1">
      <alignment horizontal="right"/>
    </xf>
    <xf numFmtId="0" fontId="5" fillId="0" borderId="0" xfId="0" applyFont="1"/>
    <xf numFmtId="4" fontId="6" fillId="0" borderId="0" xfId="3" applyNumberFormat="1" applyFont="1" applyAlignment="1">
      <alignment horizontal="right"/>
    </xf>
    <xf numFmtId="44" fontId="6" fillId="0" borderId="8" xfId="2" applyFont="1" applyBorder="1"/>
    <xf numFmtId="170" fontId="6" fillId="0" borderId="0" xfId="3" applyNumberFormat="1" applyFont="1"/>
    <xf numFmtId="170" fontId="6" fillId="0" borderId="8" xfId="2" applyNumberFormat="1" applyFont="1" applyBorder="1"/>
    <xf numFmtId="44" fontId="6" fillId="0" borderId="0" xfId="0" applyNumberFormat="1" applyFont="1"/>
    <xf numFmtId="170" fontId="6" fillId="0" borderId="12" xfId="2" applyNumberFormat="1" applyFont="1" applyBorder="1"/>
    <xf numFmtId="44" fontId="17" fillId="0" borderId="12" xfId="2" applyFont="1" applyBorder="1"/>
    <xf numFmtId="0" fontId="5" fillId="0" borderId="20" xfId="3" applyFont="1" applyBorder="1"/>
  </cellXfs>
  <cellStyles count="6">
    <cellStyle name="Moeda" xfId="2" builtinId="4"/>
    <cellStyle name="Moeda 2" xfId="5" xr:uid="{D694F327-A1D9-4192-9DAF-DB7C4B84CA98}"/>
    <cellStyle name="Normal" xfId="0" builtinId="0"/>
    <cellStyle name="Normal 2" xfId="3" xr:uid="{FAB032CC-DC9C-4873-964D-D96C2C238205}"/>
    <cellStyle name="Vírgula" xfId="1" builtinId="3"/>
    <cellStyle name="Vírgula 2" xfId="4" xr:uid="{1E9480D9-44E7-423E-9019-BC3CC905C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ão Victor" id="{B6578114-B87A-46BC-A00F-6D26648D81DC}" userId="S::jcarmo@contactusnet.com.br::3788fdd3-98ff-4fa5-b544-3ac8e76bb3d9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69" dT="2026-01-21T18:03:11.18" personId="{B6578114-B87A-46BC-A00F-6D26648D81DC}" id="{4598B3FB-876C-4C04-9442-937DD651921A}">
    <text>Quando der negativo é saldo a receber.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59C0-7E97-4AA4-93BB-D02D9E896D02}">
  <sheetPr filterMode="1"/>
  <dimension ref="A1:T85"/>
  <sheetViews>
    <sheetView tabSelected="1" topLeftCell="A3" zoomScale="85" zoomScaleNormal="85" workbookViewId="0">
      <selection activeCell="N20" sqref="N20:P20"/>
    </sheetView>
  </sheetViews>
  <sheetFormatPr defaultRowHeight="15" x14ac:dyDescent="0.25"/>
  <cols>
    <col min="3" max="3" width="10.5703125" bestFit="1" customWidth="1"/>
    <col min="5" max="5" width="8.5703125" bestFit="1" customWidth="1"/>
    <col min="6" max="6" width="14.7109375" customWidth="1"/>
    <col min="9" max="12" width="10.42578125" bestFit="1" customWidth="1"/>
    <col min="14" max="14" width="16.7109375" customWidth="1"/>
    <col min="15" max="15" width="13.85546875" customWidth="1"/>
    <col min="16" max="16" width="12.7109375" customWidth="1"/>
    <col min="17" max="17" width="15.140625" customWidth="1"/>
    <col min="18" max="18" width="19.85546875" customWidth="1"/>
  </cols>
  <sheetData>
    <row r="1" spans="1:20" ht="19.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3"/>
      <c r="S1" s="2"/>
      <c r="T1" s="4"/>
    </row>
    <row r="2" spans="1:20" ht="15.7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"/>
      <c r="R2" s="3"/>
      <c r="S2" s="2"/>
      <c r="T2" s="4"/>
    </row>
    <row r="3" spans="1:20" ht="15.75" x14ac:dyDescent="0.25">
      <c r="A3" s="6" t="s">
        <v>1</v>
      </c>
      <c r="B3" s="7" t="s">
        <v>2</v>
      </c>
      <c r="C3" s="7"/>
      <c r="D3" s="7"/>
      <c r="E3" s="7"/>
      <c r="F3" s="7"/>
      <c r="G3" s="7"/>
      <c r="H3" s="8"/>
      <c r="I3" s="9" t="s">
        <v>3</v>
      </c>
      <c r="J3" s="10"/>
      <c r="K3" s="11"/>
      <c r="L3" s="12"/>
      <c r="M3" s="13">
        <f>L3*C11</f>
        <v>0</v>
      </c>
      <c r="N3" s="13"/>
      <c r="O3" s="13"/>
      <c r="P3" s="13"/>
      <c r="Q3" s="14"/>
      <c r="R3" s="15" t="s">
        <v>4</v>
      </c>
      <c r="S3" s="2"/>
      <c r="T3" s="4"/>
    </row>
    <row r="4" spans="1:20" ht="15.75" x14ac:dyDescent="0.25">
      <c r="A4" s="6"/>
      <c r="B4" s="7"/>
      <c r="C4" s="7"/>
      <c r="D4" s="7"/>
      <c r="E4" s="7"/>
      <c r="F4" s="7"/>
      <c r="G4" s="7"/>
      <c r="H4" s="8"/>
      <c r="I4" s="16" t="s">
        <v>5</v>
      </c>
      <c r="J4" s="17"/>
      <c r="K4" s="18"/>
      <c r="L4" s="19">
        <v>0</v>
      </c>
      <c r="M4" s="13">
        <f>L4*C11</f>
        <v>0</v>
      </c>
      <c r="N4" s="13"/>
      <c r="O4" s="13"/>
      <c r="P4" s="13"/>
      <c r="Q4" s="14"/>
      <c r="R4" s="15"/>
      <c r="S4" s="2"/>
      <c r="T4" s="4"/>
    </row>
    <row r="5" spans="1:20" ht="15.75" x14ac:dyDescent="0.25">
      <c r="A5" s="6" t="s">
        <v>6</v>
      </c>
      <c r="B5" s="7"/>
      <c r="C5" s="17"/>
      <c r="D5" s="7"/>
      <c r="E5" s="7"/>
      <c r="F5" s="7"/>
      <c r="G5" s="7"/>
      <c r="H5" s="8"/>
      <c r="I5" s="9" t="s">
        <v>7</v>
      </c>
      <c r="J5" s="10"/>
      <c r="K5" s="11"/>
      <c r="L5" s="20">
        <f>D9</f>
        <v>0</v>
      </c>
      <c r="M5" s="21">
        <f>L5*C11</f>
        <v>0</v>
      </c>
      <c r="N5" s="22"/>
      <c r="O5" s="22"/>
      <c r="P5" s="23"/>
      <c r="Q5" s="14"/>
      <c r="R5" s="24">
        <f>F9-M5</f>
        <v>0</v>
      </c>
      <c r="S5" s="2"/>
      <c r="T5" s="4"/>
    </row>
    <row r="6" spans="1:20" ht="16.5" thickBot="1" x14ac:dyDescent="0.3">
      <c r="A6" s="6" t="s">
        <v>8</v>
      </c>
      <c r="B6" s="25"/>
      <c r="C6" s="26"/>
      <c r="D6" s="7"/>
      <c r="E6" s="7"/>
      <c r="F6" s="7"/>
      <c r="G6" s="7"/>
      <c r="H6" s="8"/>
      <c r="I6" s="27" t="s">
        <v>9</v>
      </c>
      <c r="J6" s="28"/>
      <c r="K6" s="28"/>
      <c r="L6" s="29"/>
      <c r="M6" s="30">
        <f>SUM(M3:P5)</f>
        <v>0</v>
      </c>
      <c r="N6" s="30"/>
      <c r="O6" s="30"/>
      <c r="P6" s="30"/>
      <c r="Q6" s="31"/>
      <c r="R6" s="3"/>
      <c r="S6" s="2"/>
      <c r="T6" s="4"/>
    </row>
    <row r="7" spans="1:20" ht="15.75" x14ac:dyDescent="0.25">
      <c r="A7" s="32" t="s">
        <v>10</v>
      </c>
      <c r="B7" s="33"/>
      <c r="C7" s="4"/>
      <c r="D7" s="34"/>
      <c r="E7" s="34"/>
      <c r="F7" s="35"/>
      <c r="G7" s="35"/>
      <c r="H7" s="36"/>
      <c r="I7" s="37" t="s">
        <v>11</v>
      </c>
      <c r="J7" s="10"/>
      <c r="K7" s="10"/>
      <c r="L7" s="11"/>
      <c r="M7" s="38"/>
      <c r="N7" s="38"/>
      <c r="O7" s="38"/>
      <c r="P7" s="38"/>
      <c r="Q7" s="14"/>
      <c r="R7" s="39" t="s">
        <v>12</v>
      </c>
      <c r="S7" s="2"/>
      <c r="T7" s="4"/>
    </row>
    <row r="8" spans="1:20" ht="15.75" x14ac:dyDescent="0.25">
      <c r="A8" s="6" t="s">
        <v>13</v>
      </c>
      <c r="B8" s="40"/>
      <c r="C8" s="40"/>
      <c r="D8" s="7"/>
      <c r="E8" s="7"/>
      <c r="F8" s="7"/>
      <c r="G8" s="10"/>
      <c r="H8" s="11"/>
      <c r="I8" s="9" t="s">
        <v>14</v>
      </c>
      <c r="J8" s="10"/>
      <c r="K8" s="10"/>
      <c r="L8" s="11"/>
      <c r="M8" s="41"/>
      <c r="N8" s="42"/>
      <c r="O8" s="42"/>
      <c r="P8" s="43"/>
      <c r="Q8" s="14"/>
      <c r="R8" s="44"/>
      <c r="S8" s="45">
        <f>M8+R8</f>
        <v>0</v>
      </c>
      <c r="T8" s="4"/>
    </row>
    <row r="9" spans="1:20" ht="15.75" x14ac:dyDescent="0.25">
      <c r="A9" s="46" t="s">
        <v>15</v>
      </c>
      <c r="B9" s="47"/>
      <c r="C9" s="48"/>
      <c r="D9" s="12"/>
      <c r="E9" s="49"/>
      <c r="F9" s="50">
        <f>D9*C11</f>
        <v>0</v>
      </c>
      <c r="G9" s="49"/>
      <c r="H9" s="51"/>
      <c r="I9" s="9" t="s">
        <v>16</v>
      </c>
      <c r="J9" s="10"/>
      <c r="K9" s="10"/>
      <c r="L9" s="11"/>
      <c r="M9" s="41"/>
      <c r="N9" s="42"/>
      <c r="O9" s="42"/>
      <c r="P9" s="43"/>
      <c r="Q9" s="14"/>
      <c r="R9" s="44"/>
      <c r="S9" s="45">
        <f>M9+R9</f>
        <v>0</v>
      </c>
      <c r="T9" s="4"/>
    </row>
    <row r="10" spans="1:20" ht="15.75" x14ac:dyDescent="0.25">
      <c r="A10" s="52"/>
      <c r="B10" s="53"/>
      <c r="C10" s="54"/>
      <c r="D10" s="55"/>
      <c r="E10" s="53"/>
      <c r="F10" s="53"/>
      <c r="G10" s="53"/>
      <c r="H10" s="56"/>
      <c r="I10" s="9" t="s">
        <v>17</v>
      </c>
      <c r="J10" s="10"/>
      <c r="K10" s="10"/>
      <c r="L10" s="11"/>
      <c r="M10" s="41"/>
      <c r="N10" s="42"/>
      <c r="O10" s="42"/>
      <c r="P10" s="43"/>
      <c r="Q10" s="14"/>
      <c r="R10" s="44"/>
      <c r="S10" s="45">
        <f>M10+R10</f>
        <v>0</v>
      </c>
      <c r="T10" s="4"/>
    </row>
    <row r="11" spans="1:20" ht="15.75" x14ac:dyDescent="0.25">
      <c r="A11" s="6" t="s">
        <v>18</v>
      </c>
      <c r="B11" s="7"/>
      <c r="C11" s="57"/>
      <c r="D11" s="57"/>
      <c r="E11" s="7"/>
      <c r="F11" s="58"/>
      <c r="G11" s="58"/>
      <c r="H11" s="59"/>
      <c r="I11" s="9" t="s">
        <v>19</v>
      </c>
      <c r="J11" s="10"/>
      <c r="K11" s="10"/>
      <c r="L11" s="11"/>
      <c r="M11" s="41"/>
      <c r="N11" s="42"/>
      <c r="O11" s="42"/>
      <c r="P11" s="43"/>
      <c r="Q11" s="14"/>
      <c r="R11" s="44"/>
      <c r="S11" s="45">
        <f>M11+R11</f>
        <v>0</v>
      </c>
      <c r="T11" s="4"/>
    </row>
    <row r="12" spans="1:20" ht="15.75" x14ac:dyDescent="0.25">
      <c r="A12" s="60"/>
      <c r="B12" s="61"/>
      <c r="C12" s="62"/>
      <c r="D12" s="61"/>
      <c r="E12" s="61"/>
      <c r="F12" s="7"/>
      <c r="G12" s="7"/>
      <c r="H12" s="8"/>
      <c r="I12" s="11" t="s">
        <v>20</v>
      </c>
      <c r="J12" s="37"/>
      <c r="K12" s="37"/>
      <c r="L12" s="37"/>
      <c r="M12" s="63"/>
      <c r="N12" s="63"/>
      <c r="O12" s="63"/>
      <c r="P12" s="63"/>
      <c r="Q12" s="14"/>
      <c r="R12" s="64"/>
      <c r="S12" s="45"/>
      <c r="T12" s="4"/>
    </row>
    <row r="13" spans="1:20" ht="15.75" x14ac:dyDescent="0.25">
      <c r="A13" s="60"/>
      <c r="B13" s="61"/>
      <c r="C13" s="62"/>
      <c r="D13" s="61"/>
      <c r="E13" s="61"/>
      <c r="F13" s="7"/>
      <c r="G13" s="7"/>
      <c r="H13" s="8"/>
      <c r="I13" s="11" t="s">
        <v>21</v>
      </c>
      <c r="J13" s="37"/>
      <c r="K13" s="37"/>
      <c r="L13" s="37"/>
      <c r="M13" s="38"/>
      <c r="N13" s="38"/>
      <c r="O13" s="38"/>
      <c r="P13" s="38"/>
      <c r="Q13" s="14"/>
      <c r="R13" s="44"/>
      <c r="S13" s="45">
        <f>M13+R13</f>
        <v>0</v>
      </c>
      <c r="T13" s="4"/>
    </row>
    <row r="14" spans="1:20" ht="16.5" thickBot="1" x14ac:dyDescent="0.3">
      <c r="A14" s="60"/>
      <c r="B14" s="61"/>
      <c r="C14" s="62"/>
      <c r="D14" s="61"/>
      <c r="E14" s="61"/>
      <c r="F14" s="7"/>
      <c r="G14" s="7"/>
      <c r="H14" s="8"/>
      <c r="I14" s="11" t="s">
        <v>22</v>
      </c>
      <c r="J14" s="37"/>
      <c r="K14" s="37"/>
      <c r="L14" s="37"/>
      <c r="M14" s="63"/>
      <c r="N14" s="63"/>
      <c r="O14" s="63"/>
      <c r="P14" s="63"/>
      <c r="Q14" s="65"/>
      <c r="R14" s="66" t="s">
        <v>23</v>
      </c>
      <c r="S14" s="2"/>
      <c r="T14" s="4"/>
    </row>
    <row r="15" spans="1:20" ht="15.75" x14ac:dyDescent="0.25">
      <c r="A15" s="6"/>
      <c r="B15" s="7"/>
      <c r="C15" s="17"/>
      <c r="D15" s="7"/>
      <c r="E15" s="7"/>
      <c r="F15" s="7"/>
      <c r="G15" s="7"/>
      <c r="H15" s="8"/>
      <c r="I15" s="37" t="s">
        <v>24</v>
      </c>
      <c r="J15" s="37"/>
      <c r="K15" s="37"/>
      <c r="L15" s="37"/>
      <c r="M15" s="30">
        <f>SUM(M6:P14)</f>
        <v>0</v>
      </c>
      <c r="N15" s="30"/>
      <c r="O15" s="30"/>
      <c r="P15" s="30"/>
      <c r="Q15" s="67"/>
      <c r="R15" s="68"/>
      <c r="S15" s="2"/>
      <c r="T15" s="4"/>
    </row>
    <row r="16" spans="1:20" ht="18.75" x14ac:dyDescent="0.3">
      <c r="A16" s="69"/>
      <c r="B16" s="70"/>
      <c r="C16" s="71"/>
      <c r="D16" s="72"/>
      <c r="E16" s="73"/>
      <c r="F16" s="73"/>
      <c r="G16" s="73"/>
      <c r="H16" s="71"/>
      <c r="I16" s="71"/>
      <c r="J16" s="71"/>
      <c r="K16" s="71"/>
      <c r="L16" s="74" t="s">
        <v>25</v>
      </c>
      <c r="M16" s="75" t="s">
        <v>26</v>
      </c>
      <c r="N16" s="75"/>
      <c r="O16" s="75"/>
      <c r="P16" s="76"/>
      <c r="Q16" s="67"/>
      <c r="R16" s="68"/>
      <c r="S16" s="2"/>
      <c r="T16" s="4"/>
    </row>
    <row r="17" spans="1:20" ht="15.75" x14ac:dyDescent="0.25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4" t="s">
        <v>27</v>
      </c>
      <c r="M17" s="75" t="s">
        <v>28</v>
      </c>
      <c r="N17" s="75"/>
      <c r="O17" s="75"/>
      <c r="P17" s="79">
        <f>M15-P16</f>
        <v>0</v>
      </c>
      <c r="Q17" s="67"/>
      <c r="R17" s="68"/>
      <c r="S17" s="2"/>
      <c r="T17" s="4"/>
    </row>
    <row r="18" spans="1:20" ht="15.75" x14ac:dyDescent="0.25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31"/>
      <c r="L18" s="74" t="s">
        <v>29</v>
      </c>
      <c r="M18" s="75" t="s">
        <v>30</v>
      </c>
      <c r="N18" s="75"/>
      <c r="O18" s="75"/>
      <c r="P18" s="80"/>
      <c r="Q18" s="67"/>
      <c r="R18" s="68"/>
      <c r="S18" s="2"/>
      <c r="T18" s="4"/>
    </row>
    <row r="19" spans="1:20" ht="15.75" x14ac:dyDescent="0.25">
      <c r="A19" s="77"/>
      <c r="B19" s="81"/>
      <c r="C19" s="81"/>
      <c r="D19" s="81"/>
      <c r="E19" s="14"/>
      <c r="F19" s="82"/>
      <c r="G19" s="83"/>
      <c r="H19" s="81"/>
      <c r="I19" s="84"/>
      <c r="J19" s="84"/>
      <c r="K19" s="84"/>
      <c r="L19" s="84"/>
      <c r="M19" s="85"/>
      <c r="N19" s="85"/>
      <c r="O19" s="85"/>
      <c r="P19" s="85"/>
      <c r="Q19" s="67"/>
      <c r="R19" s="68"/>
      <c r="S19" s="2"/>
      <c r="T19" s="4"/>
    </row>
    <row r="20" spans="1:20" ht="15.75" x14ac:dyDescent="0.25">
      <c r="A20" s="86">
        <v>26</v>
      </c>
      <c r="B20" s="87"/>
      <c r="C20" s="87">
        <v>157</v>
      </c>
      <c r="D20" s="87"/>
      <c r="E20" s="88" t="s">
        <v>31</v>
      </c>
      <c r="F20" s="89" t="s">
        <v>32</v>
      </c>
      <c r="G20" s="90"/>
      <c r="H20" s="90"/>
      <c r="I20" s="90"/>
      <c r="J20" s="90"/>
      <c r="K20" s="90"/>
      <c r="L20" s="90"/>
      <c r="M20" s="91"/>
      <c r="N20" s="92"/>
      <c r="O20" s="92"/>
      <c r="P20" s="93"/>
      <c r="Q20" s="94"/>
      <c r="R20" s="3" t="s">
        <v>33</v>
      </c>
      <c r="S20" s="2"/>
      <c r="T20" s="4"/>
    </row>
    <row r="21" spans="1:20" ht="15.75" hidden="1" x14ac:dyDescent="0.25">
      <c r="A21" s="86"/>
      <c r="B21" s="87"/>
      <c r="C21" s="87"/>
      <c r="D21" s="87"/>
      <c r="E21" s="88"/>
      <c r="F21" s="89"/>
      <c r="G21" s="90"/>
      <c r="H21" s="90"/>
      <c r="I21" s="90"/>
      <c r="J21" s="90"/>
      <c r="K21" s="90"/>
      <c r="L21" s="90"/>
      <c r="M21" s="91"/>
      <c r="N21" s="95" t="s">
        <v>34</v>
      </c>
      <c r="O21" s="95"/>
      <c r="P21" s="96"/>
      <c r="Q21" s="2"/>
      <c r="R21" s="3"/>
      <c r="S21" s="2"/>
      <c r="T21" s="4"/>
    </row>
    <row r="22" spans="1:20" ht="15.75" hidden="1" x14ac:dyDescent="0.25">
      <c r="A22" s="86">
        <v>26</v>
      </c>
      <c r="B22" s="87"/>
      <c r="C22" s="97">
        <v>11220</v>
      </c>
      <c r="D22" s="86"/>
      <c r="E22" s="88"/>
      <c r="F22" s="4" t="s">
        <v>35</v>
      </c>
      <c r="G22" s="98"/>
      <c r="H22" s="98"/>
      <c r="I22" s="98"/>
      <c r="J22" s="98"/>
      <c r="K22" s="98"/>
      <c r="L22" s="98"/>
      <c r="M22" s="99"/>
      <c r="N22" s="100"/>
      <c r="O22" s="101"/>
      <c r="P22" s="101"/>
      <c r="Q22" s="14"/>
      <c r="R22" s="4"/>
      <c r="S22" s="2"/>
      <c r="T22" s="4"/>
    </row>
    <row r="23" spans="1:20" ht="15.75" hidden="1" x14ac:dyDescent="0.25">
      <c r="A23" s="102"/>
      <c r="B23" s="86"/>
      <c r="C23" s="103"/>
      <c r="D23" s="104"/>
      <c r="E23" s="88"/>
      <c r="F23" s="105"/>
      <c r="G23" s="98"/>
      <c r="H23" s="98"/>
      <c r="I23" s="98"/>
      <c r="J23" s="98"/>
      <c r="K23" s="98"/>
      <c r="L23" s="98"/>
      <c r="M23" s="99"/>
      <c r="N23" s="96"/>
      <c r="O23" s="106"/>
      <c r="P23" s="106"/>
      <c r="Q23" s="107"/>
      <c r="R23" s="3"/>
      <c r="S23" s="2"/>
      <c r="T23" s="4"/>
    </row>
    <row r="24" spans="1:20" ht="15.75" hidden="1" x14ac:dyDescent="0.25">
      <c r="A24" s="86">
        <v>270</v>
      </c>
      <c r="B24" s="87"/>
      <c r="C24" s="86">
        <v>26</v>
      </c>
      <c r="D24" s="87"/>
      <c r="E24" s="88">
        <v>508</v>
      </c>
      <c r="F24" s="89" t="s">
        <v>36</v>
      </c>
      <c r="G24" s="90"/>
      <c r="H24" s="90"/>
      <c r="I24" s="90"/>
      <c r="J24" s="90"/>
      <c r="K24" s="90"/>
      <c r="L24" s="90"/>
      <c r="M24" s="91"/>
      <c r="N24" s="95"/>
      <c r="O24" s="95"/>
      <c r="P24" s="96"/>
      <c r="Q24" s="2"/>
      <c r="R24" s="3"/>
      <c r="S24" s="2"/>
      <c r="T24" s="4"/>
    </row>
    <row r="25" spans="1:20" ht="15.75" hidden="1" x14ac:dyDescent="0.25">
      <c r="A25" s="86"/>
      <c r="B25" s="87"/>
      <c r="C25" s="97"/>
      <c r="D25" s="86"/>
      <c r="E25" s="88"/>
      <c r="F25" s="89"/>
      <c r="G25" s="90"/>
      <c r="H25" s="90"/>
      <c r="I25" s="90"/>
      <c r="J25" s="90"/>
      <c r="K25" s="90"/>
      <c r="L25" s="90"/>
      <c r="M25" s="91"/>
      <c r="N25" s="95"/>
      <c r="O25" s="95"/>
      <c r="P25" s="96"/>
      <c r="Q25" s="2"/>
      <c r="R25" s="3"/>
      <c r="S25" s="2"/>
      <c r="T25" s="4"/>
    </row>
    <row r="26" spans="1:20" ht="15.75" x14ac:dyDescent="0.25">
      <c r="A26" s="86">
        <v>17858</v>
      </c>
      <c r="B26" s="87"/>
      <c r="C26" s="86">
        <v>26</v>
      </c>
      <c r="D26" s="87"/>
      <c r="E26" s="88">
        <v>500</v>
      </c>
      <c r="F26" s="3" t="s">
        <v>37</v>
      </c>
      <c r="G26" s="98"/>
      <c r="H26" s="98"/>
      <c r="I26" s="98"/>
      <c r="J26" s="108"/>
      <c r="K26" s="98"/>
      <c r="L26" s="98"/>
      <c r="M26" s="99"/>
      <c r="N26" s="109">
        <f>M12</f>
        <v>0</v>
      </c>
      <c r="O26" s="109"/>
      <c r="P26" s="110"/>
      <c r="Q26" s="2"/>
      <c r="R26" s="3"/>
      <c r="S26" s="111"/>
      <c r="T26" s="4"/>
    </row>
    <row r="27" spans="1:20" ht="15.75" hidden="1" x14ac:dyDescent="0.25">
      <c r="A27" s="86"/>
      <c r="B27" s="87"/>
      <c r="C27" s="87"/>
      <c r="D27" s="87"/>
      <c r="E27" s="88"/>
      <c r="F27" s="89"/>
      <c r="G27" s="90"/>
      <c r="H27" s="90"/>
      <c r="I27" s="90"/>
      <c r="J27" s="90"/>
      <c r="K27" s="90"/>
      <c r="L27" s="90"/>
      <c r="M27" s="91"/>
      <c r="N27" s="112"/>
      <c r="O27" s="113"/>
      <c r="P27" s="113"/>
      <c r="Q27" s="2"/>
      <c r="R27" s="3"/>
      <c r="S27" s="111"/>
      <c r="T27" s="4"/>
    </row>
    <row r="28" spans="1:20" ht="15.75" x14ac:dyDescent="0.25">
      <c r="A28" s="86">
        <v>17858</v>
      </c>
      <c r="B28" s="87"/>
      <c r="C28" s="86">
        <v>26</v>
      </c>
      <c r="D28" s="87"/>
      <c r="E28" s="88">
        <v>500</v>
      </c>
      <c r="F28" s="3" t="s">
        <v>38</v>
      </c>
      <c r="G28" s="98"/>
      <c r="H28" s="98"/>
      <c r="I28" s="98"/>
      <c r="J28" s="114"/>
      <c r="K28" s="114"/>
      <c r="L28" s="98"/>
      <c r="M28" s="99"/>
      <c r="N28" s="109">
        <f>M10</f>
        <v>0</v>
      </c>
      <c r="O28" s="109"/>
      <c r="P28" s="110"/>
      <c r="Q28" s="2"/>
      <c r="R28" s="3"/>
      <c r="S28" s="111"/>
      <c r="T28" s="4"/>
    </row>
    <row r="29" spans="1:20" ht="15.75" hidden="1" x14ac:dyDescent="0.25">
      <c r="A29" s="86"/>
      <c r="B29" s="87"/>
      <c r="C29" s="87"/>
      <c r="D29" s="87"/>
      <c r="E29" s="88"/>
      <c r="F29" s="89"/>
      <c r="G29" s="90"/>
      <c r="H29" s="90"/>
      <c r="I29" s="90"/>
      <c r="J29" s="90"/>
      <c r="K29" s="90"/>
      <c r="L29" s="90"/>
      <c r="M29" s="91"/>
      <c r="N29" s="112"/>
      <c r="O29" s="113"/>
      <c r="P29" s="113"/>
      <c r="Q29" s="2"/>
      <c r="R29" s="3"/>
      <c r="S29" s="111"/>
      <c r="T29" s="4"/>
    </row>
    <row r="30" spans="1:20" ht="15.75" x14ac:dyDescent="0.25">
      <c r="A30" s="86">
        <v>17858</v>
      </c>
      <c r="B30" s="87"/>
      <c r="C30" s="86">
        <v>26</v>
      </c>
      <c r="D30" s="87"/>
      <c r="E30" s="88">
        <v>500</v>
      </c>
      <c r="F30" s="3" t="s">
        <v>39</v>
      </c>
      <c r="G30" s="98"/>
      <c r="H30" s="98"/>
      <c r="I30" s="98"/>
      <c r="J30" s="108"/>
      <c r="K30" s="98"/>
      <c r="L30" s="98"/>
      <c r="M30" s="99"/>
      <c r="N30" s="109">
        <f>M11</f>
        <v>0</v>
      </c>
      <c r="O30" s="109"/>
      <c r="P30" s="110"/>
      <c r="Q30" s="2"/>
      <c r="R30" s="3"/>
      <c r="S30" s="111"/>
      <c r="T30" s="4"/>
    </row>
    <row r="31" spans="1:20" ht="15.75" hidden="1" x14ac:dyDescent="0.25">
      <c r="A31" s="86"/>
      <c r="B31" s="87"/>
      <c r="C31" s="87"/>
      <c r="D31" s="87"/>
      <c r="E31" s="88"/>
      <c r="F31" s="89"/>
      <c r="G31" s="90"/>
      <c r="H31" s="90"/>
      <c r="I31" s="90"/>
      <c r="J31" s="90"/>
      <c r="K31" s="90"/>
      <c r="L31" s="90"/>
      <c r="M31" s="91"/>
      <c r="N31" s="112"/>
      <c r="O31" s="113"/>
      <c r="P31" s="113"/>
      <c r="Q31" s="2"/>
      <c r="R31" s="3"/>
      <c r="S31" s="111"/>
      <c r="T31" s="4"/>
    </row>
    <row r="32" spans="1:20" ht="15.75" x14ac:dyDescent="0.25">
      <c r="A32" s="86">
        <v>17858</v>
      </c>
      <c r="B32" s="87"/>
      <c r="C32" s="86">
        <v>26</v>
      </c>
      <c r="D32" s="87"/>
      <c r="E32" s="88">
        <v>500</v>
      </c>
      <c r="F32" s="3" t="s">
        <v>40</v>
      </c>
      <c r="G32" s="98"/>
      <c r="H32" s="98"/>
      <c r="I32" s="98"/>
      <c r="J32" s="108"/>
      <c r="K32" s="98"/>
      <c r="L32" s="98"/>
      <c r="M32" s="99"/>
      <c r="N32" s="109">
        <f>M8</f>
        <v>0</v>
      </c>
      <c r="O32" s="109"/>
      <c r="P32" s="110"/>
      <c r="Q32" s="2"/>
      <c r="R32" s="3"/>
      <c r="S32" s="111"/>
      <c r="T32" s="4"/>
    </row>
    <row r="33" spans="1:20" ht="15.75" hidden="1" x14ac:dyDescent="0.25">
      <c r="A33" s="86"/>
      <c r="B33" s="87"/>
      <c r="C33" s="87"/>
      <c r="D33" s="87"/>
      <c r="E33" s="88"/>
      <c r="F33" s="89"/>
      <c r="G33" s="90"/>
      <c r="H33" s="90"/>
      <c r="I33" s="90"/>
      <c r="J33" s="90"/>
      <c r="K33" s="90"/>
      <c r="L33" s="90"/>
      <c r="M33" s="91"/>
      <c r="N33" s="112"/>
      <c r="O33" s="113"/>
      <c r="P33" s="113"/>
      <c r="Q33" s="2"/>
      <c r="R33" s="3"/>
      <c r="S33" s="111"/>
      <c r="T33" s="4"/>
    </row>
    <row r="34" spans="1:20" ht="15.75" x14ac:dyDescent="0.25">
      <c r="A34" s="86">
        <v>17858</v>
      </c>
      <c r="B34" s="87"/>
      <c r="C34" s="86">
        <v>26</v>
      </c>
      <c r="D34" s="87"/>
      <c r="E34" s="88">
        <v>500</v>
      </c>
      <c r="F34" s="3" t="s">
        <v>41</v>
      </c>
      <c r="G34" s="98"/>
      <c r="H34" s="98"/>
      <c r="I34" s="98"/>
      <c r="J34" s="108"/>
      <c r="K34" s="98"/>
      <c r="L34" s="98"/>
      <c r="M34" s="99"/>
      <c r="N34" s="110">
        <f>M9</f>
        <v>0</v>
      </c>
      <c r="O34" s="115"/>
      <c r="P34" s="115"/>
      <c r="Q34" s="2"/>
      <c r="R34" s="3"/>
      <c r="S34" s="111"/>
      <c r="T34" s="4"/>
    </row>
    <row r="35" spans="1:20" ht="15.75" hidden="1" x14ac:dyDescent="0.25">
      <c r="A35" s="86"/>
      <c r="B35" s="87"/>
      <c r="C35" s="87"/>
      <c r="D35" s="87"/>
      <c r="E35" s="88"/>
      <c r="F35" s="89"/>
      <c r="G35" s="90"/>
      <c r="H35" s="90"/>
      <c r="I35" s="90"/>
      <c r="J35" s="90"/>
      <c r="K35" s="90"/>
      <c r="L35" s="90"/>
      <c r="M35" s="91"/>
      <c r="N35" s="112"/>
      <c r="O35" s="113"/>
      <c r="P35" s="113"/>
      <c r="Q35" s="2"/>
      <c r="R35" s="3"/>
      <c r="S35" s="111"/>
      <c r="T35" s="4"/>
    </row>
    <row r="36" spans="1:20" ht="15.75" x14ac:dyDescent="0.25">
      <c r="A36" s="86">
        <v>17858</v>
      </c>
      <c r="B36" s="87"/>
      <c r="C36" s="86">
        <v>26</v>
      </c>
      <c r="D36" s="87"/>
      <c r="E36" s="88">
        <v>500</v>
      </c>
      <c r="F36" s="3" t="s">
        <v>42</v>
      </c>
      <c r="G36" s="98"/>
      <c r="H36" s="98"/>
      <c r="I36" s="98"/>
      <c r="J36" s="98"/>
      <c r="K36" s="108"/>
      <c r="L36" s="98"/>
      <c r="M36" s="99"/>
      <c r="N36" s="110">
        <f>M7</f>
        <v>0</v>
      </c>
      <c r="O36" s="115"/>
      <c r="P36" s="115"/>
      <c r="Q36" s="2"/>
      <c r="R36" s="3"/>
      <c r="S36" s="111"/>
      <c r="T36" s="4"/>
    </row>
    <row r="37" spans="1:20" ht="15.75" hidden="1" x14ac:dyDescent="0.25">
      <c r="A37" s="86"/>
      <c r="B37" s="87"/>
      <c r="C37" s="87"/>
      <c r="D37" s="87"/>
      <c r="E37" s="88"/>
      <c r="F37" s="89"/>
      <c r="G37" s="90"/>
      <c r="H37" s="90"/>
      <c r="I37" s="90"/>
      <c r="J37" s="90"/>
      <c r="K37" s="90"/>
      <c r="L37" s="90"/>
      <c r="M37" s="91"/>
      <c r="N37" s="112"/>
      <c r="O37" s="113"/>
      <c r="P37" s="113"/>
      <c r="Q37" s="2"/>
      <c r="R37" s="3"/>
      <c r="S37" s="2"/>
      <c r="T37" s="4"/>
    </row>
    <row r="38" spans="1:20" ht="15.75" x14ac:dyDescent="0.25">
      <c r="A38" s="86">
        <v>17858</v>
      </c>
      <c r="B38" s="87"/>
      <c r="C38" s="97">
        <v>26</v>
      </c>
      <c r="D38" s="86"/>
      <c r="E38" s="88"/>
      <c r="F38" s="3" t="s">
        <v>43</v>
      </c>
      <c r="G38" s="98"/>
      <c r="H38" s="98"/>
      <c r="I38" s="108"/>
      <c r="J38" s="98"/>
      <c r="K38" s="108"/>
      <c r="L38" s="98"/>
      <c r="M38" s="99"/>
      <c r="N38" s="109">
        <f>M13</f>
        <v>0</v>
      </c>
      <c r="O38" s="109"/>
      <c r="P38" s="110"/>
      <c r="Q38" s="2"/>
      <c r="R38" s="3"/>
      <c r="S38" s="2"/>
      <c r="T38" s="4"/>
    </row>
    <row r="39" spans="1:20" ht="15.75" hidden="1" x14ac:dyDescent="0.25">
      <c r="A39" s="86"/>
      <c r="B39" s="87"/>
      <c r="C39" s="87"/>
      <c r="D39" s="87"/>
      <c r="E39" s="88"/>
      <c r="F39" s="89"/>
      <c r="G39" s="90"/>
      <c r="H39" s="90"/>
      <c r="I39" s="90"/>
      <c r="J39" s="90"/>
      <c r="K39" s="90"/>
      <c r="L39" s="90"/>
      <c r="M39" s="91"/>
      <c r="N39" s="95"/>
      <c r="O39" s="95"/>
      <c r="P39" s="96"/>
      <c r="Q39" s="2"/>
      <c r="R39" s="3"/>
      <c r="S39" s="2"/>
      <c r="T39" s="4"/>
    </row>
    <row r="40" spans="1:20" ht="15.75" x14ac:dyDescent="0.25">
      <c r="A40" s="86">
        <v>17858</v>
      </c>
      <c r="B40" s="87"/>
      <c r="C40" s="86">
        <v>189</v>
      </c>
      <c r="D40" s="87"/>
      <c r="E40" s="88">
        <v>501</v>
      </c>
      <c r="F40" s="3" t="s">
        <v>44</v>
      </c>
      <c r="G40" s="98"/>
      <c r="H40" s="98"/>
      <c r="I40" s="108"/>
      <c r="J40" s="98"/>
      <c r="K40" s="98"/>
      <c r="L40" s="98"/>
      <c r="M40" s="99"/>
      <c r="N40" s="109">
        <f>-P17</f>
        <v>0</v>
      </c>
      <c r="O40" s="109"/>
      <c r="P40" s="110"/>
      <c r="Q40" s="2"/>
      <c r="R40" s="3"/>
      <c r="S40" s="2"/>
      <c r="T40" s="4"/>
    </row>
    <row r="41" spans="1:20" ht="15.75" hidden="1" x14ac:dyDescent="0.25">
      <c r="A41" s="103"/>
      <c r="B41" s="104"/>
      <c r="C41" s="87"/>
      <c r="D41" s="87"/>
      <c r="E41" s="88"/>
      <c r="F41" s="105"/>
      <c r="G41" s="98"/>
      <c r="H41" s="98"/>
      <c r="I41" s="98"/>
      <c r="J41" s="98"/>
      <c r="K41" s="98"/>
      <c r="L41" s="98"/>
      <c r="M41" s="99"/>
      <c r="N41" s="96"/>
      <c r="O41" s="106"/>
      <c r="P41" s="106"/>
      <c r="Q41" s="2"/>
      <c r="R41" s="3"/>
      <c r="S41" s="2"/>
      <c r="T41" s="4"/>
    </row>
    <row r="42" spans="1:20" ht="15.75" x14ac:dyDescent="0.25">
      <c r="A42" s="86">
        <v>17858</v>
      </c>
      <c r="B42" s="87"/>
      <c r="C42" s="86">
        <v>214</v>
      </c>
      <c r="D42" s="87"/>
      <c r="E42" s="88"/>
      <c r="F42" s="3" t="s">
        <v>45</v>
      </c>
      <c r="G42" s="98"/>
      <c r="H42" s="98"/>
      <c r="I42" s="98"/>
      <c r="J42" s="98"/>
      <c r="K42" s="98"/>
      <c r="L42" s="108"/>
      <c r="M42" s="99"/>
      <c r="N42" s="116">
        <f>M4</f>
        <v>0</v>
      </c>
      <c r="O42" s="117"/>
      <c r="P42" s="117"/>
      <c r="Q42" s="2"/>
      <c r="R42" s="3"/>
      <c r="S42" s="2"/>
      <c r="T42" s="4"/>
    </row>
    <row r="43" spans="1:20" ht="15.75" hidden="1" x14ac:dyDescent="0.25">
      <c r="A43" s="86"/>
      <c r="B43" s="87"/>
      <c r="C43" s="87"/>
      <c r="D43" s="87"/>
      <c r="E43" s="88"/>
      <c r="F43" s="89"/>
      <c r="G43" s="90"/>
      <c r="H43" s="90"/>
      <c r="I43" s="90"/>
      <c r="J43" s="90"/>
      <c r="K43" s="90"/>
      <c r="L43" s="90"/>
      <c r="M43" s="91"/>
      <c r="N43" s="96"/>
      <c r="O43" s="106"/>
      <c r="P43" s="106"/>
      <c r="Q43" s="2"/>
      <c r="R43" s="3"/>
      <c r="S43" s="2"/>
      <c r="T43" s="4"/>
    </row>
    <row r="44" spans="1:20" ht="15.75" hidden="1" x14ac:dyDescent="0.25">
      <c r="A44" s="102">
        <v>189</v>
      </c>
      <c r="B44" s="86"/>
      <c r="C44" s="86">
        <v>26</v>
      </c>
      <c r="D44" s="87"/>
      <c r="E44" s="88"/>
      <c r="F44" s="3" t="s">
        <v>46</v>
      </c>
      <c r="G44" s="98"/>
      <c r="H44" s="98"/>
      <c r="I44" s="98"/>
      <c r="J44" s="98"/>
      <c r="K44" s="98"/>
      <c r="L44" s="98"/>
      <c r="M44" s="99"/>
      <c r="N44" s="118"/>
      <c r="O44" s="119">
        <v>0</v>
      </c>
      <c r="P44" s="119"/>
      <c r="Q44" s="2"/>
      <c r="R44" s="3"/>
      <c r="S44" s="2"/>
      <c r="T44" s="4"/>
    </row>
    <row r="45" spans="1:20" ht="15.75" hidden="1" x14ac:dyDescent="0.25">
      <c r="A45" s="104"/>
      <c r="B45" s="120"/>
      <c r="C45" s="104"/>
      <c r="D45" s="120"/>
      <c r="E45" s="88"/>
      <c r="F45" s="105"/>
      <c r="G45" s="98"/>
      <c r="H45" s="98"/>
      <c r="I45" s="98"/>
      <c r="J45" s="98"/>
      <c r="K45" s="98"/>
      <c r="L45" s="98"/>
      <c r="M45" s="99"/>
      <c r="N45" s="118"/>
      <c r="O45" s="121"/>
      <c r="P45" s="121"/>
      <c r="Q45" s="2"/>
      <c r="R45" s="122">
        <f>P16-N26-N28-N30-N32-N34-N36-N40-N46-N38-N42</f>
        <v>0</v>
      </c>
      <c r="S45" s="15" t="s">
        <v>47</v>
      </c>
      <c r="T45" s="4"/>
    </row>
    <row r="46" spans="1:20" ht="15.75" x14ac:dyDescent="0.25">
      <c r="A46" s="86">
        <v>17858</v>
      </c>
      <c r="B46" s="87"/>
      <c r="C46" s="86">
        <v>26</v>
      </c>
      <c r="D46" s="87"/>
      <c r="E46" s="88">
        <v>500</v>
      </c>
      <c r="F46" s="3" t="s">
        <v>48</v>
      </c>
      <c r="G46" s="98"/>
      <c r="H46" s="98"/>
      <c r="I46" s="98"/>
      <c r="J46" s="98"/>
      <c r="K46" s="108"/>
      <c r="L46" s="98"/>
      <c r="M46" s="99"/>
      <c r="N46" s="123">
        <f>M3</f>
        <v>0</v>
      </c>
      <c r="O46" s="124"/>
      <c r="P46" s="124"/>
      <c r="Q46" s="2"/>
      <c r="R46" s="3"/>
      <c r="S46" s="2"/>
      <c r="T46" s="4"/>
    </row>
    <row r="47" spans="1:20" ht="15.75" hidden="1" x14ac:dyDescent="0.25">
      <c r="A47" s="86"/>
      <c r="B47" s="87"/>
      <c r="C47" s="87"/>
      <c r="D47" s="87"/>
      <c r="E47" s="88"/>
      <c r="F47" s="125"/>
      <c r="G47" s="126"/>
      <c r="H47" s="126"/>
      <c r="I47" s="126"/>
      <c r="J47" s="126"/>
      <c r="K47" s="126"/>
      <c r="L47" s="126"/>
      <c r="M47" s="127"/>
      <c r="N47" s="95"/>
      <c r="O47" s="95"/>
      <c r="P47" s="96"/>
      <c r="Q47" s="2"/>
      <c r="R47" s="3"/>
      <c r="S47" s="2"/>
      <c r="T47" s="4"/>
    </row>
    <row r="48" spans="1:20" ht="15.75" x14ac:dyDescent="0.25">
      <c r="A48" s="86">
        <v>319</v>
      </c>
      <c r="B48" s="87"/>
      <c r="C48" s="97">
        <v>26</v>
      </c>
      <c r="D48" s="86"/>
      <c r="E48" s="88">
        <v>502</v>
      </c>
      <c r="F48" s="89" t="s">
        <v>49</v>
      </c>
      <c r="G48" s="90"/>
      <c r="H48" s="90"/>
      <c r="I48" s="90"/>
      <c r="J48" s="90"/>
      <c r="K48" s="90"/>
      <c r="L48" s="90"/>
      <c r="M48" s="91"/>
      <c r="N48" s="128">
        <f>R74-N46</f>
        <v>0</v>
      </c>
      <c r="O48" s="128"/>
      <c r="P48" s="129"/>
      <c r="Q48" s="2"/>
      <c r="R48" s="3"/>
      <c r="S48" s="2"/>
      <c r="T48" s="4"/>
    </row>
    <row r="49" spans="1:20" ht="15.75" hidden="1" x14ac:dyDescent="0.25">
      <c r="A49" s="102"/>
      <c r="B49" s="86"/>
      <c r="C49" s="97"/>
      <c r="D49" s="86"/>
      <c r="E49" s="88"/>
      <c r="F49" s="89"/>
      <c r="G49" s="90"/>
      <c r="H49" s="90"/>
      <c r="I49" s="90"/>
      <c r="J49" s="90"/>
      <c r="K49" s="90"/>
      <c r="L49" s="90"/>
      <c r="M49" s="91"/>
      <c r="N49" s="95" t="s">
        <v>50</v>
      </c>
      <c r="O49" s="95"/>
      <c r="P49" s="96"/>
      <c r="Q49" s="2"/>
      <c r="R49" s="3"/>
      <c r="S49" s="2"/>
      <c r="T49" s="4"/>
    </row>
    <row r="50" spans="1:20" ht="15.75" x14ac:dyDescent="0.25">
      <c r="A50" s="130">
        <v>21748</v>
      </c>
      <c r="B50" s="131"/>
      <c r="C50" s="86">
        <v>26</v>
      </c>
      <c r="D50" s="87"/>
      <c r="E50" s="88">
        <v>500</v>
      </c>
      <c r="F50" s="132" t="s">
        <v>51</v>
      </c>
      <c r="G50" s="133"/>
      <c r="H50" s="133"/>
      <c r="I50" s="134"/>
      <c r="J50" s="98"/>
      <c r="K50" s="98"/>
      <c r="L50" s="98"/>
      <c r="M50" s="99"/>
      <c r="N50" s="109">
        <v>1000</v>
      </c>
      <c r="O50" s="109"/>
      <c r="P50" s="110"/>
      <c r="Q50" s="2"/>
      <c r="R50" s="135" t="s">
        <v>52</v>
      </c>
      <c r="S50" s="2"/>
      <c r="T50" s="4"/>
    </row>
    <row r="51" spans="1:20" ht="15.75" hidden="1" x14ac:dyDescent="0.25">
      <c r="A51" s="102"/>
      <c r="B51" s="86"/>
      <c r="C51" s="97"/>
      <c r="D51" s="86"/>
      <c r="E51" s="88"/>
      <c r="F51" s="89"/>
      <c r="G51" s="90"/>
      <c r="H51" s="90"/>
      <c r="I51" s="90"/>
      <c r="J51" s="90"/>
      <c r="K51" s="90"/>
      <c r="L51" s="90"/>
      <c r="M51" s="91"/>
      <c r="N51" s="95"/>
      <c r="O51" s="95"/>
      <c r="P51" s="96"/>
      <c r="Q51" s="2"/>
      <c r="R51" s="3"/>
      <c r="S51" s="2"/>
      <c r="T51" s="4"/>
    </row>
    <row r="52" spans="1:20" ht="15.75" x14ac:dyDescent="0.25">
      <c r="A52" s="102" t="s">
        <v>53</v>
      </c>
      <c r="B52" s="86"/>
      <c r="C52" s="86">
        <v>26</v>
      </c>
      <c r="D52" s="87"/>
      <c r="E52" s="88"/>
      <c r="F52" s="132" t="s">
        <v>54</v>
      </c>
      <c r="G52" s="133"/>
      <c r="H52" s="133"/>
      <c r="I52" s="136"/>
      <c r="J52" s="98"/>
      <c r="K52" s="136"/>
      <c r="L52" s="136"/>
      <c r="M52" s="137"/>
      <c r="N52" s="95">
        <v>0</v>
      </c>
      <c r="O52" s="95"/>
      <c r="P52" s="96"/>
      <c r="Q52" s="2"/>
      <c r="R52" s="138">
        <f>N50+N58+N60</f>
        <v>938.5</v>
      </c>
      <c r="S52" s="135" t="s">
        <v>55</v>
      </c>
      <c r="T52" s="4"/>
    </row>
    <row r="53" spans="1:20" ht="15.75" hidden="1" x14ac:dyDescent="0.25">
      <c r="A53" s="103"/>
      <c r="B53" s="104"/>
      <c r="C53" s="103"/>
      <c r="D53" s="104"/>
      <c r="E53" s="88"/>
      <c r="F53" s="105"/>
      <c r="G53" s="98"/>
      <c r="H53" s="98"/>
      <c r="I53" s="98"/>
      <c r="J53" s="98"/>
      <c r="K53" s="98"/>
      <c r="L53" s="98"/>
      <c r="M53" s="99"/>
      <c r="N53" s="139"/>
      <c r="O53" s="139"/>
      <c r="P53" s="118"/>
      <c r="Q53" s="2"/>
      <c r="R53" s="3"/>
      <c r="S53" s="2"/>
      <c r="T53" s="4"/>
    </row>
    <row r="54" spans="1:20" ht="15.75" hidden="1" x14ac:dyDescent="0.25">
      <c r="A54" s="102" t="s">
        <v>53</v>
      </c>
      <c r="B54" s="86"/>
      <c r="C54" s="86">
        <v>26</v>
      </c>
      <c r="D54" s="87"/>
      <c r="E54" s="88"/>
      <c r="F54" s="132" t="s">
        <v>54</v>
      </c>
      <c r="G54" s="133"/>
      <c r="H54" s="133"/>
      <c r="I54" s="136"/>
      <c r="J54" s="98"/>
      <c r="K54" s="136"/>
      <c r="L54" s="136"/>
      <c r="M54" s="137"/>
      <c r="N54" s="95">
        <v>0</v>
      </c>
      <c r="O54" s="95"/>
      <c r="P54" s="96"/>
      <c r="Q54" s="2"/>
      <c r="R54" s="140" t="s">
        <v>56</v>
      </c>
      <c r="S54" s="4"/>
      <c r="T54" s="4"/>
    </row>
    <row r="55" spans="1:20" ht="15.75" hidden="1" x14ac:dyDescent="0.25">
      <c r="A55" s="103"/>
      <c r="B55" s="104"/>
      <c r="C55" s="103"/>
      <c r="D55" s="104"/>
      <c r="E55" s="88"/>
      <c r="F55" s="105"/>
      <c r="G55" s="98"/>
      <c r="H55" s="98"/>
      <c r="I55" s="98"/>
      <c r="J55" s="98"/>
      <c r="K55" s="98"/>
      <c r="L55" s="98"/>
      <c r="M55" s="99"/>
      <c r="N55" s="139"/>
      <c r="O55" s="139"/>
      <c r="P55" s="118"/>
      <c r="Q55" s="2"/>
      <c r="R55" s="3"/>
      <c r="S55" s="2"/>
      <c r="T55" s="4"/>
    </row>
    <row r="56" spans="1:20" ht="15.75" hidden="1" x14ac:dyDescent="0.25">
      <c r="A56" s="102">
        <v>10457</v>
      </c>
      <c r="B56" s="86"/>
      <c r="C56" s="86">
        <v>26</v>
      </c>
      <c r="D56" s="87"/>
      <c r="E56" s="88">
        <v>503</v>
      </c>
      <c r="F56" s="132"/>
      <c r="G56" s="133"/>
      <c r="H56" s="133"/>
      <c r="I56" s="136"/>
      <c r="J56" s="98"/>
      <c r="K56" s="136"/>
      <c r="L56" s="98"/>
      <c r="M56" s="99"/>
      <c r="N56" s="110">
        <v>1000</v>
      </c>
      <c r="O56" s="115"/>
      <c r="P56" s="115"/>
      <c r="Q56" s="2"/>
    </row>
    <row r="57" spans="1:20" ht="15.75" hidden="1" x14ac:dyDescent="0.25">
      <c r="A57" s="103"/>
      <c r="B57" s="104"/>
      <c r="C57" s="141"/>
      <c r="D57" s="104"/>
      <c r="E57" s="88"/>
      <c r="F57" s="132"/>
      <c r="G57" s="133"/>
      <c r="H57" s="133"/>
      <c r="I57" s="133"/>
      <c r="J57" s="133"/>
      <c r="K57" s="133"/>
      <c r="L57" s="133"/>
      <c r="M57" s="142"/>
      <c r="N57" s="96"/>
      <c r="O57" s="106"/>
      <c r="P57" s="106"/>
      <c r="Q57" s="2"/>
      <c r="R57" s="4"/>
      <c r="S57" s="4"/>
      <c r="T57" s="4"/>
    </row>
    <row r="58" spans="1:20" ht="15.75" hidden="1" x14ac:dyDescent="0.25">
      <c r="A58" s="102">
        <v>10457</v>
      </c>
      <c r="B58" s="86"/>
      <c r="C58" s="97">
        <v>113</v>
      </c>
      <c r="D58" s="86"/>
      <c r="E58" s="88"/>
      <c r="F58" s="132"/>
      <c r="G58" s="133"/>
      <c r="H58" s="133"/>
      <c r="I58" s="143"/>
      <c r="J58" s="144"/>
      <c r="K58" s="145"/>
      <c r="L58" s="98"/>
      <c r="M58" s="99"/>
      <c r="N58" s="110">
        <f>-N56*1.5%</f>
        <v>-15</v>
      </c>
      <c r="O58" s="115"/>
      <c r="P58" s="115"/>
      <c r="Q58" s="2"/>
      <c r="S58" s="4"/>
      <c r="T58" s="4"/>
    </row>
    <row r="59" spans="1:20" ht="15.75" hidden="1" x14ac:dyDescent="0.25">
      <c r="A59" s="103"/>
      <c r="B59" s="104"/>
      <c r="C59" s="141"/>
      <c r="D59" s="104"/>
      <c r="E59" s="88"/>
      <c r="F59" s="105"/>
      <c r="G59" s="98"/>
      <c r="H59" s="98"/>
      <c r="I59" s="98"/>
      <c r="J59" s="98"/>
      <c r="K59" s="98"/>
      <c r="L59" s="98"/>
      <c r="M59" s="99"/>
      <c r="N59" s="95"/>
      <c r="O59" s="95"/>
      <c r="P59" s="96"/>
      <c r="Q59" s="2"/>
      <c r="R59" s="4"/>
      <c r="S59" s="4"/>
      <c r="T59" s="4"/>
    </row>
    <row r="60" spans="1:20" ht="15.75" hidden="1" x14ac:dyDescent="0.25">
      <c r="A60" s="102">
        <v>10457</v>
      </c>
      <c r="B60" s="86"/>
      <c r="C60" s="97">
        <v>328</v>
      </c>
      <c r="D60" s="86"/>
      <c r="E60" s="88"/>
      <c r="F60" s="105" t="s">
        <v>57</v>
      </c>
      <c r="G60" s="98"/>
      <c r="H60" s="98"/>
      <c r="I60" s="98"/>
      <c r="J60" s="98"/>
      <c r="K60" s="98"/>
      <c r="L60" s="98"/>
      <c r="M60" s="99"/>
      <c r="N60" s="110">
        <f>-N56*4.65%</f>
        <v>-46.500000000000007</v>
      </c>
      <c r="O60" s="115"/>
      <c r="P60" s="115"/>
      <c r="Q60" s="2"/>
      <c r="R60" s="4"/>
      <c r="S60" s="4"/>
      <c r="T60" s="4"/>
    </row>
    <row r="61" spans="1:20" ht="15.75" hidden="1" x14ac:dyDescent="0.25">
      <c r="A61" s="103"/>
      <c r="B61" s="104"/>
      <c r="C61" s="141"/>
      <c r="D61" s="104"/>
      <c r="E61" s="88"/>
      <c r="F61" s="105"/>
      <c r="G61" s="98"/>
      <c r="H61" s="98"/>
      <c r="I61" s="98"/>
      <c r="J61" s="98"/>
      <c r="K61" s="98"/>
      <c r="L61" s="98"/>
      <c r="M61" s="99"/>
      <c r="N61" s="95"/>
      <c r="O61" s="95"/>
      <c r="P61" s="96"/>
      <c r="Q61" s="2"/>
      <c r="R61" s="4"/>
      <c r="S61" s="4"/>
      <c r="T61" s="4"/>
    </row>
    <row r="62" spans="1:20" ht="15.75" x14ac:dyDescent="0.25">
      <c r="A62" s="86">
        <v>189</v>
      </c>
      <c r="B62" s="87"/>
      <c r="C62" s="86">
        <v>26</v>
      </c>
      <c r="D62" s="87"/>
      <c r="E62" s="88">
        <v>506</v>
      </c>
      <c r="F62" s="105" t="s">
        <v>58</v>
      </c>
      <c r="G62" s="98"/>
      <c r="H62" s="98"/>
      <c r="I62" s="98"/>
      <c r="J62" s="108"/>
      <c r="K62" s="98"/>
      <c r="L62" s="98"/>
      <c r="M62" s="99"/>
      <c r="N62" s="109">
        <f>O84-O74</f>
        <v>0</v>
      </c>
      <c r="O62" s="109"/>
      <c r="P62" s="110"/>
      <c r="Q62" s="2"/>
      <c r="R62" s="4"/>
      <c r="S62" s="4"/>
      <c r="T62" s="4"/>
    </row>
    <row r="63" spans="1:20" ht="15.75" hidden="1" x14ac:dyDescent="0.25">
      <c r="A63" s="103"/>
      <c r="B63" s="104"/>
      <c r="C63" s="103"/>
      <c r="D63" s="104"/>
      <c r="E63" s="88"/>
      <c r="F63" s="105"/>
      <c r="G63" s="98"/>
      <c r="H63" s="98"/>
      <c r="I63" s="98"/>
      <c r="J63" s="108"/>
      <c r="K63" s="98"/>
      <c r="L63" s="98"/>
      <c r="M63" s="99"/>
      <c r="N63" s="139"/>
      <c r="O63" s="139"/>
      <c r="P63" s="118"/>
      <c r="Q63" s="2"/>
      <c r="R63" s="4"/>
      <c r="S63" s="4"/>
      <c r="T63" s="4"/>
    </row>
    <row r="64" spans="1:20" ht="15.75" x14ac:dyDescent="0.25">
      <c r="A64" s="131">
        <v>21689</v>
      </c>
      <c r="B64" s="146"/>
      <c r="C64" s="86">
        <v>26</v>
      </c>
      <c r="D64" s="87"/>
      <c r="E64" s="88"/>
      <c r="F64" s="147" t="s">
        <v>59</v>
      </c>
      <c r="G64" s="148"/>
      <c r="H64" s="148"/>
      <c r="I64" s="98"/>
      <c r="J64" s="108"/>
      <c r="K64" s="136"/>
      <c r="L64" s="98"/>
      <c r="M64" s="99"/>
      <c r="N64" s="110">
        <f>O72</f>
        <v>0</v>
      </c>
      <c r="O64" s="115"/>
      <c r="P64" s="115"/>
      <c r="Q64" s="135" t="s">
        <v>60</v>
      </c>
      <c r="R64" s="135" t="s">
        <v>61</v>
      </c>
      <c r="S64" s="4"/>
      <c r="T64" s="4"/>
    </row>
    <row r="65" spans="1:20" ht="15.75" hidden="1" x14ac:dyDescent="0.25">
      <c r="A65" s="149"/>
      <c r="B65" s="150"/>
      <c r="C65" s="149"/>
      <c r="D65" s="150"/>
      <c r="E65" s="151"/>
      <c r="F65" s="152"/>
      <c r="G65" s="153"/>
      <c r="H65" s="153"/>
      <c r="I65" s="153"/>
      <c r="J65" s="153"/>
      <c r="K65" s="153"/>
      <c r="L65" s="153"/>
      <c r="M65" s="154"/>
      <c r="N65" s="95"/>
      <c r="O65" s="95"/>
      <c r="P65" s="96"/>
      <c r="Q65" s="14"/>
      <c r="R65" s="112"/>
      <c r="S65" s="112"/>
      <c r="T65" s="112"/>
    </row>
    <row r="66" spans="1:20" ht="15.75" x14ac:dyDescent="0.25">
      <c r="A66" s="155">
        <v>26</v>
      </c>
      <c r="B66" s="156"/>
      <c r="C66" s="157">
        <v>140</v>
      </c>
      <c r="D66" s="158"/>
      <c r="E66" s="159">
        <v>507</v>
      </c>
      <c r="F66" s="160" t="s">
        <v>62</v>
      </c>
      <c r="G66" s="161"/>
      <c r="H66" s="161"/>
      <c r="I66" s="161"/>
      <c r="J66" s="161"/>
      <c r="K66" s="161"/>
      <c r="L66" s="161"/>
      <c r="M66" s="162"/>
      <c r="N66" s="163">
        <f>P69</f>
        <v>938.5</v>
      </c>
      <c r="O66" s="163"/>
      <c r="P66" s="164"/>
      <c r="Q66" s="14"/>
      <c r="R66" s="165">
        <f>N66-P69</f>
        <v>0</v>
      </c>
      <c r="S66" s="112"/>
      <c r="T66" s="112"/>
    </row>
    <row r="67" spans="1:20" ht="15.75" hidden="1" x14ac:dyDescent="0.25">
      <c r="A67" s="158"/>
      <c r="B67" s="166"/>
      <c r="C67" s="157"/>
      <c r="D67" s="158"/>
      <c r="E67" s="159"/>
      <c r="F67" s="160" t="s">
        <v>63</v>
      </c>
      <c r="G67" s="161"/>
      <c r="H67" s="161"/>
      <c r="I67" s="161"/>
      <c r="J67" s="167" t="s">
        <v>64</v>
      </c>
      <c r="K67" s="161">
        <f>K65</f>
        <v>0</v>
      </c>
      <c r="L67" s="161"/>
      <c r="M67" s="162"/>
      <c r="N67" s="168"/>
      <c r="O67" s="168"/>
      <c r="P67" s="169"/>
      <c r="Q67" s="14"/>
      <c r="R67" s="112"/>
      <c r="S67" s="112"/>
      <c r="T67" s="112"/>
    </row>
    <row r="68" spans="1:20" ht="15.75" x14ac:dyDescent="0.25">
      <c r="A68" s="170"/>
      <c r="B68" s="155"/>
      <c r="C68" s="155"/>
      <c r="D68" s="156"/>
      <c r="E68" s="151"/>
      <c r="F68" s="171"/>
      <c r="G68" s="172"/>
      <c r="H68" s="172"/>
      <c r="I68" s="172"/>
      <c r="J68" s="172"/>
      <c r="K68" s="172"/>
      <c r="L68" s="172"/>
      <c r="M68" s="173"/>
      <c r="N68" s="95"/>
      <c r="O68" s="95"/>
      <c r="P68" s="96"/>
      <c r="Q68" s="14"/>
      <c r="R68" s="112"/>
      <c r="S68" s="112"/>
      <c r="T68" s="112"/>
    </row>
    <row r="69" spans="1:20" ht="15.75" x14ac:dyDescent="0.25">
      <c r="A69" s="149"/>
      <c r="B69" s="149"/>
      <c r="C69" s="149"/>
      <c r="D69" s="149"/>
      <c r="E69" s="174"/>
      <c r="F69" s="153"/>
      <c r="G69" s="153"/>
      <c r="H69" s="153"/>
      <c r="I69" s="153"/>
      <c r="J69" s="153"/>
      <c r="K69" s="153"/>
      <c r="L69" s="175" t="s">
        <v>65</v>
      </c>
      <c r="M69" s="175"/>
      <c r="N69" s="176">
        <f>SUM(N20:N68)</f>
        <v>2877</v>
      </c>
      <c r="O69" s="176"/>
      <c r="P69" s="177">
        <f>N28+N30+N32+N34+N36+N38+R52+O72+O73+O75+O76+N20+O77+O78</f>
        <v>938.5</v>
      </c>
      <c r="Q69" s="178" t="str">
        <f>IF(P69&lt;0,"Saldo a Receber",IF(P69&gt;0,"Saldo a Pagar"))</f>
        <v>Saldo a Pagar</v>
      </c>
      <c r="R69" s="179"/>
      <c r="S69" s="112"/>
      <c r="T69" s="112"/>
    </row>
    <row r="70" spans="1:20" ht="15.75" x14ac:dyDescent="0.25">
      <c r="A70" s="112"/>
      <c r="B70" s="4"/>
      <c r="C70" s="4"/>
      <c r="D70" s="112"/>
      <c r="E70" s="112"/>
      <c r="F70" s="4"/>
      <c r="G70" s="112"/>
      <c r="H70" s="112"/>
      <c r="I70" s="112"/>
      <c r="J70" s="112"/>
      <c r="K70" s="112"/>
      <c r="L70" s="112"/>
      <c r="M70" s="112"/>
      <c r="N70" s="112"/>
      <c r="O70" s="112"/>
      <c r="P70" s="180"/>
      <c r="Q70" s="112"/>
      <c r="R70" s="181" t="s">
        <v>66</v>
      </c>
      <c r="S70" s="182"/>
      <c r="T70" s="112"/>
    </row>
    <row r="71" spans="1:20" ht="15.75" x14ac:dyDescent="0.25">
      <c r="A71" s="4"/>
      <c r="B71" s="4" t="s">
        <v>67</v>
      </c>
      <c r="C71" s="4" t="s">
        <v>68</v>
      </c>
      <c r="D71" s="4" t="s">
        <v>69</v>
      </c>
      <c r="E71" s="4" t="s">
        <v>70</v>
      </c>
      <c r="F71" s="4" t="s">
        <v>71</v>
      </c>
      <c r="G71" s="4"/>
      <c r="H71" s="4"/>
      <c r="I71" s="4"/>
      <c r="J71" s="4"/>
      <c r="K71" s="4"/>
      <c r="L71" s="4"/>
      <c r="M71" s="112"/>
      <c r="N71" s="112"/>
      <c r="O71" s="183" t="s">
        <v>72</v>
      </c>
      <c r="P71" s="184"/>
      <c r="Q71" s="4" t="s">
        <v>73</v>
      </c>
      <c r="R71" s="185"/>
      <c r="S71" s="185"/>
      <c r="T71" s="4"/>
    </row>
    <row r="72" spans="1:20" ht="15.75" x14ac:dyDescent="0.25">
      <c r="A72" s="4"/>
      <c r="B72" s="186">
        <f t="shared" ref="B72:B83" si="0">$B$8</f>
        <v>0</v>
      </c>
      <c r="C72" s="187">
        <f>N28</f>
        <v>0</v>
      </c>
      <c r="D72" s="4">
        <f>A28</f>
        <v>17858</v>
      </c>
      <c r="E72" s="4">
        <f>C28</f>
        <v>26</v>
      </c>
      <c r="F72" s="4" t="str">
        <f>_xlfn.CONCAT(F28," ",$B$9, " DO PROCESSO ", $B$7,"  DA NF ",$B$6)</f>
        <v xml:space="preserve">COMP. DO VALOR REF.  PIS DA DI  DO PROCESSO   DA NF </v>
      </c>
      <c r="G72" s="4"/>
      <c r="H72" s="4"/>
      <c r="I72" s="4"/>
      <c r="J72" s="188"/>
      <c r="K72" s="189"/>
      <c r="L72" s="189"/>
      <c r="M72" s="190"/>
      <c r="N72" s="112"/>
      <c r="O72" s="191"/>
      <c r="P72" s="192" t="s">
        <v>60</v>
      </c>
      <c r="Q72" s="4"/>
      <c r="R72" s="185"/>
      <c r="T72" s="185"/>
    </row>
    <row r="73" spans="1:20" ht="15.75" x14ac:dyDescent="0.25">
      <c r="A73" s="4"/>
      <c r="B73" s="186">
        <f t="shared" si="0"/>
        <v>0</v>
      </c>
      <c r="C73" s="187">
        <f>N30</f>
        <v>0</v>
      </c>
      <c r="D73" s="4">
        <f>A30</f>
        <v>17858</v>
      </c>
      <c r="E73" s="4">
        <f>C30</f>
        <v>26</v>
      </c>
      <c r="F73" s="4" t="str">
        <f>_xlfn.CONCAT(F30," ",$B$9, " DO PROCESSO ", $B$7,"  DA NF ",$B$6)</f>
        <v xml:space="preserve">COMP. DO VALOR REF.  COFINS DA DI  DO PROCESSO   DA NF </v>
      </c>
      <c r="G73" s="4"/>
      <c r="H73" s="4"/>
      <c r="I73" s="4"/>
      <c r="J73" s="4"/>
      <c r="K73" s="193"/>
      <c r="L73" s="188"/>
      <c r="M73" s="112"/>
      <c r="N73" s="112"/>
      <c r="O73" s="194"/>
      <c r="P73" s="192" t="s">
        <v>20</v>
      </c>
      <c r="Q73" s="4"/>
      <c r="R73" s="195"/>
      <c r="S73" s="185"/>
      <c r="T73" s="4"/>
    </row>
    <row r="74" spans="1:20" ht="15.75" x14ac:dyDescent="0.25">
      <c r="A74" s="4"/>
      <c r="B74" s="186">
        <f t="shared" si="0"/>
        <v>0</v>
      </c>
      <c r="C74" s="187">
        <f>N32</f>
        <v>0</v>
      </c>
      <c r="D74" s="4">
        <f>A32</f>
        <v>17858</v>
      </c>
      <c r="E74" s="4">
        <f>C32</f>
        <v>26</v>
      </c>
      <c r="F74" s="4" t="str">
        <f>_xlfn.CONCAT(F32," ",$B$9, " DO PROCESSO ", $B$7,"  DA NF ",$B$6)</f>
        <v xml:space="preserve">COMP. DO VALOR REF.  I.I. DA DI  DO PROCESSO   DA NF </v>
      </c>
      <c r="G74" s="4"/>
      <c r="H74" s="4"/>
      <c r="I74" s="4"/>
      <c r="J74" s="4"/>
      <c r="K74" s="2"/>
      <c r="L74" s="4"/>
      <c r="M74" s="112"/>
      <c r="N74" s="112"/>
      <c r="O74" s="196"/>
      <c r="P74" s="192" t="s">
        <v>74</v>
      </c>
      <c r="Q74" s="4"/>
      <c r="R74" s="197"/>
      <c r="S74" s="198"/>
      <c r="T74" s="4"/>
    </row>
    <row r="75" spans="1:20" ht="15.75" x14ac:dyDescent="0.25">
      <c r="A75" s="4"/>
      <c r="B75" s="186">
        <f t="shared" si="0"/>
        <v>0</v>
      </c>
      <c r="C75" s="187">
        <f>N34</f>
        <v>0</v>
      </c>
      <c r="D75" s="4">
        <f>A34</f>
        <v>17858</v>
      </c>
      <c r="E75" s="4">
        <f>C34</f>
        <v>26</v>
      </c>
      <c r="F75" s="4" t="str">
        <f>_xlfn.CONCAT(F34," ",$B$9, " DO PROCESSO ", $B$7,"  DA NF ",$B$6)</f>
        <v xml:space="preserve">COMP. DO VALOR REF.  IPI. DA DI  DO PROCESSO   DA NF </v>
      </c>
      <c r="G75" s="4"/>
      <c r="H75" s="4"/>
      <c r="I75" s="4"/>
      <c r="J75" s="4"/>
      <c r="K75" s="2"/>
      <c r="L75" s="4"/>
      <c r="M75" s="112"/>
      <c r="N75" s="112"/>
      <c r="O75" s="191"/>
      <c r="P75" s="192" t="s">
        <v>21</v>
      </c>
      <c r="Q75" s="4"/>
      <c r="R75" s="199"/>
      <c r="S75" s="2"/>
      <c r="T75" s="4"/>
    </row>
    <row r="76" spans="1:20" ht="15.75" x14ac:dyDescent="0.25">
      <c r="A76" s="4"/>
      <c r="B76" s="186">
        <f t="shared" si="0"/>
        <v>0</v>
      </c>
      <c r="C76" s="187">
        <f>N36</f>
        <v>0</v>
      </c>
      <c r="D76" s="4">
        <f>A36</f>
        <v>17858</v>
      </c>
      <c r="E76" s="4">
        <f>C36</f>
        <v>26</v>
      </c>
      <c r="F76" s="4" t="str">
        <f>_xlfn.CONCAT(F36," ",$B$9, " DO PROCESSO ", $B$7,"  DA NF ",$B$6)</f>
        <v xml:space="preserve">COMP. DO VALOR REF.  TAXA SISCOMEX DA DI  DO PROCESSO   DA NF </v>
      </c>
      <c r="G76" s="4"/>
      <c r="H76" s="4"/>
      <c r="I76" s="4"/>
      <c r="J76" s="4"/>
      <c r="K76" s="2"/>
      <c r="L76" s="4"/>
      <c r="M76" s="112"/>
      <c r="N76" s="112"/>
      <c r="O76" s="191"/>
      <c r="P76" s="192" t="s">
        <v>75</v>
      </c>
      <c r="Q76" s="4"/>
      <c r="R76" s="197"/>
      <c r="S76" s="198"/>
      <c r="T76" s="4"/>
    </row>
    <row r="77" spans="1:20" ht="15.75" x14ac:dyDescent="0.25">
      <c r="A77" s="4"/>
      <c r="B77" s="186">
        <f t="shared" si="0"/>
        <v>0</v>
      </c>
      <c r="C77" s="187">
        <f>N38</f>
        <v>0</v>
      </c>
      <c r="D77" s="4">
        <f>A38</f>
        <v>17858</v>
      </c>
      <c r="E77" s="4">
        <f>C38</f>
        <v>26</v>
      </c>
      <c r="F77" s="4" t="str">
        <f>_xlfn.CONCAT(F38," ",$B$9, " DO PROCESSO ", $B$7,"  DA NF ",$B$6)</f>
        <v xml:space="preserve">COMP. DO VALOR REF.  AFRMM DA DI  DO PROCESSO   DA NF </v>
      </c>
      <c r="G77" s="4"/>
      <c r="H77" s="4"/>
      <c r="I77" s="4"/>
      <c r="J77" s="4"/>
      <c r="K77" s="2"/>
      <c r="L77" s="4"/>
      <c r="M77" s="112"/>
      <c r="N77" s="112"/>
      <c r="O77" s="191"/>
      <c r="P77" s="192" t="s">
        <v>76</v>
      </c>
      <c r="Q77" s="4"/>
      <c r="R77" s="197"/>
      <c r="S77" s="198"/>
      <c r="T77" s="4"/>
    </row>
    <row r="78" spans="1:20" ht="15.75" x14ac:dyDescent="0.25">
      <c r="A78" s="4"/>
      <c r="B78" s="186">
        <f t="shared" si="0"/>
        <v>0</v>
      </c>
      <c r="C78" s="187">
        <f>N40</f>
        <v>0</v>
      </c>
      <c r="D78" s="4">
        <f>A40</f>
        <v>17858</v>
      </c>
      <c r="E78" s="4">
        <f>C40</f>
        <v>189</v>
      </c>
      <c r="F78" s="4" t="str">
        <f>_xlfn.CONCAT(F40," ",$B$9," DO PROCESSO ", $B$7,"  DA NF ",$B$6)</f>
        <v xml:space="preserve">VR.OUTROS CUSTOS DA DI   DO PROCESSO   DA NF </v>
      </c>
      <c r="G78" s="4"/>
      <c r="H78" s="4"/>
      <c r="I78" s="4"/>
      <c r="J78" s="4"/>
      <c r="K78" s="2"/>
      <c r="L78" s="4"/>
      <c r="M78" s="112"/>
      <c r="N78" s="112"/>
      <c r="O78" s="191"/>
      <c r="P78" s="192" t="s">
        <v>77</v>
      </c>
      <c r="Q78" s="4"/>
      <c r="R78" s="4"/>
      <c r="S78" s="198"/>
      <c r="T78" s="4"/>
    </row>
    <row r="79" spans="1:20" ht="15.75" x14ac:dyDescent="0.25">
      <c r="A79" s="4"/>
      <c r="B79" s="186">
        <f t="shared" si="0"/>
        <v>0</v>
      </c>
      <c r="C79" s="187">
        <f>N46</f>
        <v>0</v>
      </c>
      <c r="D79" s="4">
        <f>A46</f>
        <v>17858</v>
      </c>
      <c r="E79" s="4">
        <f>C46</f>
        <v>26</v>
      </c>
      <c r="F79" s="4" t="str">
        <f>_xlfn.CONCAT(F46," ",$B$9, " DO PROCESSO ", $B$7,"  DA NF ",$B$6)</f>
        <v xml:space="preserve">COMPENSAÇÃO DO ADIANT.IMPORTAÇÃO S/ FRETE DI  DO PROCESSO   DA NF </v>
      </c>
      <c r="G79" s="4"/>
      <c r="H79" s="4"/>
      <c r="I79" s="4"/>
      <c r="J79" s="4"/>
      <c r="K79" s="2"/>
      <c r="L79" s="4"/>
      <c r="M79" s="112"/>
      <c r="N79" s="112"/>
      <c r="O79" s="200"/>
      <c r="P79" s="192"/>
      <c r="Q79" s="4"/>
      <c r="R79" s="198"/>
      <c r="S79" s="198"/>
      <c r="T79" s="4"/>
    </row>
    <row r="80" spans="1:20" ht="15.75" x14ac:dyDescent="0.25">
      <c r="A80" s="4"/>
      <c r="B80" s="186">
        <f t="shared" si="0"/>
        <v>0</v>
      </c>
      <c r="C80" s="187">
        <f>R52</f>
        <v>938.5</v>
      </c>
      <c r="D80" s="4">
        <f>A50</f>
        <v>21748</v>
      </c>
      <c r="E80" s="4">
        <f>C50</f>
        <v>26</v>
      </c>
      <c r="F80" s="4" t="str">
        <f>_xlfn.CONCAT(F50," ",$B$9, " DO PROCESSO ", $B$7,"  DA NF ",$B$6)</f>
        <v xml:space="preserve">COMP.SERV. PRESTADOS CF. NF.36082  DO PROCESSO   DA NF </v>
      </c>
      <c r="G80" s="4"/>
      <c r="H80" s="4"/>
      <c r="I80" s="4"/>
      <c r="J80" s="4"/>
      <c r="K80" s="2"/>
      <c r="L80" s="4"/>
      <c r="M80" s="112"/>
      <c r="N80" s="112"/>
      <c r="O80" s="200"/>
      <c r="P80" s="192"/>
      <c r="Q80" s="4"/>
      <c r="R80" s="201"/>
      <c r="S80" s="198"/>
      <c r="T80" s="4"/>
    </row>
    <row r="81" spans="1:20" ht="15.75" x14ac:dyDescent="0.25">
      <c r="A81" s="4"/>
      <c r="B81" s="186">
        <f t="shared" si="0"/>
        <v>0</v>
      </c>
      <c r="C81" s="187">
        <f>N62</f>
        <v>0</v>
      </c>
      <c r="D81" s="4">
        <f>A62</f>
        <v>189</v>
      </c>
      <c r="E81" s="4">
        <f>C62</f>
        <v>26</v>
      </c>
      <c r="F81" s="4" t="str">
        <f>_xlfn.CONCAT(F62," ",$B$9, " DO PROCESSO ", $B$7,"  DA NF ",$B$6)</f>
        <v xml:space="preserve">Vr.ref. outros custos import.DI    DO PROCESSO   DA NF </v>
      </c>
      <c r="G81" s="4"/>
      <c r="H81" s="4"/>
      <c r="I81" s="4"/>
      <c r="J81" s="4"/>
      <c r="K81" s="2"/>
      <c r="L81" s="4"/>
      <c r="M81" s="112"/>
      <c r="N81" s="112"/>
      <c r="O81" s="200"/>
      <c r="P81" s="192"/>
      <c r="Q81" s="4"/>
      <c r="R81" s="201"/>
      <c r="S81" s="198"/>
      <c r="T81" s="4"/>
    </row>
    <row r="82" spans="1:20" ht="15.75" x14ac:dyDescent="0.25">
      <c r="A82" s="4"/>
      <c r="B82" s="186">
        <f t="shared" si="0"/>
        <v>0</v>
      </c>
      <c r="C82" s="187">
        <f>N64</f>
        <v>0</v>
      </c>
      <c r="D82" s="4">
        <f>A64</f>
        <v>21689</v>
      </c>
      <c r="E82" s="4">
        <f>C64</f>
        <v>26</v>
      </c>
      <c r="F82" s="4" t="str">
        <f>_xlfn.CONCAT(F64," ",$B$9, " DO PROCESSO ", $B$7,"  DA NF ",$B$6)</f>
        <v xml:space="preserve">COMP.SERV. PRESTADOS CF. NF.1085384  DO PROCESSO   DA NF </v>
      </c>
      <c r="G82" s="4"/>
      <c r="H82" s="4"/>
      <c r="I82" s="4"/>
      <c r="J82" s="4"/>
      <c r="K82" s="2"/>
      <c r="L82" s="4"/>
      <c r="M82" s="112"/>
      <c r="N82" s="112"/>
      <c r="O82" s="202"/>
      <c r="P82" s="192"/>
      <c r="Q82" s="4"/>
      <c r="R82" s="201"/>
      <c r="S82" s="2"/>
      <c r="T82" s="4"/>
    </row>
    <row r="83" spans="1:20" ht="15.75" x14ac:dyDescent="0.25">
      <c r="A83" s="4"/>
      <c r="B83" s="186">
        <f t="shared" si="0"/>
        <v>0</v>
      </c>
      <c r="C83" s="203">
        <f>N66</f>
        <v>938.5</v>
      </c>
      <c r="D83" s="4">
        <f>A66</f>
        <v>26</v>
      </c>
      <c r="E83" s="4">
        <f>C66</f>
        <v>140</v>
      </c>
      <c r="F83" s="4" t="str">
        <f>_xlfn.CONCAT(F66," ",$B$9, " DO PROCESSO ", $B$7,"  DA NF ",$B$6)</f>
        <v xml:space="preserve">Sd.a pagar ref. desp./serviços import.produto  DO PROCESSO   DA NF </v>
      </c>
      <c r="G83" s="4"/>
      <c r="H83" s="4"/>
      <c r="I83" s="4"/>
      <c r="J83" s="4"/>
      <c r="K83" s="2"/>
      <c r="L83" s="4"/>
      <c r="M83" s="112"/>
      <c r="N83" s="112"/>
      <c r="O83" s="204"/>
      <c r="P83" s="192"/>
      <c r="Q83" s="4"/>
      <c r="R83" s="201"/>
      <c r="S83" s="2"/>
      <c r="T83" s="4"/>
    </row>
    <row r="84" spans="1:20" ht="15.7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112"/>
      <c r="N84" s="112"/>
      <c r="O84" s="205">
        <f>SUM(O74:O83)+O73</f>
        <v>0</v>
      </c>
      <c r="P84" s="206"/>
      <c r="Q84" s="4"/>
      <c r="R84" s="4"/>
      <c r="S84" s="198"/>
      <c r="T84" s="4"/>
    </row>
    <row r="85" spans="1:20" ht="15.7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112"/>
      <c r="N85" s="112"/>
      <c r="O85" s="112"/>
      <c r="P85" s="112"/>
      <c r="Q85" s="4"/>
      <c r="R85" s="4"/>
      <c r="S85" s="198"/>
      <c r="T85" s="4"/>
    </row>
  </sheetData>
  <autoFilter ref="A20:T67" xr:uid="{EF793C7D-3C9E-446B-9131-E093B147E1AD}">
    <filterColumn colId="0" showButton="0"/>
    <filterColumn colId="2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>
      <customFilters>
        <customFilter operator="notEqual" val=" "/>
      </customFilters>
    </filterColumn>
    <filterColumn colId="14" showButton="0"/>
  </autoFilter>
  <mergeCells count="187">
    <mergeCell ref="L69:M69"/>
    <mergeCell ref="O71:P71"/>
    <mergeCell ref="A67:B67"/>
    <mergeCell ref="C67:D67"/>
    <mergeCell ref="N67:P67"/>
    <mergeCell ref="A68:B68"/>
    <mergeCell ref="C68:D68"/>
    <mergeCell ref="F68:M68"/>
    <mergeCell ref="N68:P68"/>
    <mergeCell ref="A64:B64"/>
    <mergeCell ref="C64:D64"/>
    <mergeCell ref="F64:H64"/>
    <mergeCell ref="N64:P64"/>
    <mergeCell ref="N65:P65"/>
    <mergeCell ref="A66:B66"/>
    <mergeCell ref="C66:D66"/>
    <mergeCell ref="N66:P66"/>
    <mergeCell ref="N59:P59"/>
    <mergeCell ref="A60:B60"/>
    <mergeCell ref="C60:D60"/>
    <mergeCell ref="N60:P60"/>
    <mergeCell ref="N61:P61"/>
    <mergeCell ref="A62:B62"/>
    <mergeCell ref="C62:D62"/>
    <mergeCell ref="N62:P62"/>
    <mergeCell ref="F57:M57"/>
    <mergeCell ref="N57:P57"/>
    <mergeCell ref="A58:B58"/>
    <mergeCell ref="C58:D58"/>
    <mergeCell ref="F58:H58"/>
    <mergeCell ref="N58:P58"/>
    <mergeCell ref="A54:B54"/>
    <mergeCell ref="C54:D54"/>
    <mergeCell ref="F54:H54"/>
    <mergeCell ref="N54:P54"/>
    <mergeCell ref="A56:B56"/>
    <mergeCell ref="C56:D56"/>
    <mergeCell ref="F56:H56"/>
    <mergeCell ref="N56:P56"/>
    <mergeCell ref="A51:B51"/>
    <mergeCell ref="C51:D51"/>
    <mergeCell ref="F51:M51"/>
    <mergeCell ref="N51:P51"/>
    <mergeCell ref="A52:B52"/>
    <mergeCell ref="C52:D52"/>
    <mergeCell ref="F52:H52"/>
    <mergeCell ref="N52:P52"/>
    <mergeCell ref="A49:B49"/>
    <mergeCell ref="C49:D49"/>
    <mergeCell ref="F49:M49"/>
    <mergeCell ref="N49:P49"/>
    <mergeCell ref="A50:B50"/>
    <mergeCell ref="C50:D50"/>
    <mergeCell ref="F50:H50"/>
    <mergeCell ref="N50:P50"/>
    <mergeCell ref="A47:B47"/>
    <mergeCell ref="C47:D47"/>
    <mergeCell ref="F47:M47"/>
    <mergeCell ref="N47:P47"/>
    <mergeCell ref="A48:B48"/>
    <mergeCell ref="C48:D48"/>
    <mergeCell ref="F48:M48"/>
    <mergeCell ref="N48:P48"/>
    <mergeCell ref="A44:B44"/>
    <mergeCell ref="C44:D44"/>
    <mergeCell ref="O44:P44"/>
    <mergeCell ref="A46:B46"/>
    <mergeCell ref="C46:D46"/>
    <mergeCell ref="N46:P46"/>
    <mergeCell ref="C41:D41"/>
    <mergeCell ref="N41:P41"/>
    <mergeCell ref="A42:B42"/>
    <mergeCell ref="C42:D42"/>
    <mergeCell ref="N42:P42"/>
    <mergeCell ref="A43:B43"/>
    <mergeCell ref="C43:D43"/>
    <mergeCell ref="F43:M43"/>
    <mergeCell ref="N43:P43"/>
    <mergeCell ref="A39:B39"/>
    <mergeCell ref="C39:D39"/>
    <mergeCell ref="F39:M39"/>
    <mergeCell ref="N39:P39"/>
    <mergeCell ref="A40:B40"/>
    <mergeCell ref="C40:D40"/>
    <mergeCell ref="N40:P40"/>
    <mergeCell ref="A37:B37"/>
    <mergeCell ref="C37:D37"/>
    <mergeCell ref="F37:M37"/>
    <mergeCell ref="O37:P37"/>
    <mergeCell ref="A38:B38"/>
    <mergeCell ref="C38:D38"/>
    <mergeCell ref="N38:P38"/>
    <mergeCell ref="A35:B35"/>
    <mergeCell ref="C35:D35"/>
    <mergeCell ref="F35:M35"/>
    <mergeCell ref="O35:P35"/>
    <mergeCell ref="A36:B36"/>
    <mergeCell ref="C36:D36"/>
    <mergeCell ref="N36:P36"/>
    <mergeCell ref="A33:B33"/>
    <mergeCell ref="C33:D33"/>
    <mergeCell ref="F33:M33"/>
    <mergeCell ref="O33:P33"/>
    <mergeCell ref="A34:B34"/>
    <mergeCell ref="C34:D34"/>
    <mergeCell ref="N34:P34"/>
    <mergeCell ref="A31:B31"/>
    <mergeCell ref="C31:D31"/>
    <mergeCell ref="F31:M31"/>
    <mergeCell ref="O31:P31"/>
    <mergeCell ref="A32:B32"/>
    <mergeCell ref="C32:D32"/>
    <mergeCell ref="N32:P32"/>
    <mergeCell ref="A29:B29"/>
    <mergeCell ref="C29:D29"/>
    <mergeCell ref="F29:M29"/>
    <mergeCell ref="O29:P29"/>
    <mergeCell ref="A30:B30"/>
    <mergeCell ref="C30:D30"/>
    <mergeCell ref="N30:P30"/>
    <mergeCell ref="A27:B27"/>
    <mergeCell ref="C27:D27"/>
    <mergeCell ref="F27:M27"/>
    <mergeCell ref="O27:P27"/>
    <mergeCell ref="A28:B28"/>
    <mergeCell ref="C28:D28"/>
    <mergeCell ref="J28:K28"/>
    <mergeCell ref="N28:P28"/>
    <mergeCell ref="A25:B25"/>
    <mergeCell ref="C25:D25"/>
    <mergeCell ref="F25:M25"/>
    <mergeCell ref="N25:P25"/>
    <mergeCell ref="A26:B26"/>
    <mergeCell ref="C26:D26"/>
    <mergeCell ref="N26:P26"/>
    <mergeCell ref="A22:B22"/>
    <mergeCell ref="C22:D22"/>
    <mergeCell ref="N22:P22"/>
    <mergeCell ref="A23:B23"/>
    <mergeCell ref="N23:P23"/>
    <mergeCell ref="A24:B24"/>
    <mergeCell ref="C24:D24"/>
    <mergeCell ref="F24:M24"/>
    <mergeCell ref="N24:P24"/>
    <mergeCell ref="A20:B20"/>
    <mergeCell ref="C20:D20"/>
    <mergeCell ref="F20:M20"/>
    <mergeCell ref="N20:P20"/>
    <mergeCell ref="A21:B21"/>
    <mergeCell ref="C21:D21"/>
    <mergeCell ref="F21:M21"/>
    <mergeCell ref="N21:P21"/>
    <mergeCell ref="I15:L15"/>
    <mergeCell ref="M15:P15"/>
    <mergeCell ref="E16:G16"/>
    <mergeCell ref="M16:O16"/>
    <mergeCell ref="M17:O17"/>
    <mergeCell ref="P17:P18"/>
    <mergeCell ref="M18:O18"/>
    <mergeCell ref="I12:L12"/>
    <mergeCell ref="M12:P12"/>
    <mergeCell ref="I13:L13"/>
    <mergeCell ref="M13:P13"/>
    <mergeCell ref="I14:L14"/>
    <mergeCell ref="M14:P14"/>
    <mergeCell ref="I9:L9"/>
    <mergeCell ref="M9:P9"/>
    <mergeCell ref="I10:L10"/>
    <mergeCell ref="M10:P10"/>
    <mergeCell ref="C11:D11"/>
    <mergeCell ref="I11:L11"/>
    <mergeCell ref="M11:P11"/>
    <mergeCell ref="I6:L6"/>
    <mergeCell ref="M6:P6"/>
    <mergeCell ref="F7:G7"/>
    <mergeCell ref="I7:L7"/>
    <mergeCell ref="M7:P7"/>
    <mergeCell ref="G8:H8"/>
    <mergeCell ref="I8:L8"/>
    <mergeCell ref="M8:P8"/>
    <mergeCell ref="A1:P1"/>
    <mergeCell ref="A2:P2"/>
    <mergeCell ref="I3:K3"/>
    <mergeCell ref="M3:P3"/>
    <mergeCell ref="M4:P4"/>
    <mergeCell ref="I5:K5"/>
    <mergeCell ref="M5:P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 OVER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Casoni Santos</dc:creator>
  <cp:lastModifiedBy>Pedro Henrique Casoni Santos</cp:lastModifiedBy>
  <dcterms:created xsi:type="dcterms:W3CDTF">2026-04-29T19:13:00Z</dcterms:created>
  <dcterms:modified xsi:type="dcterms:W3CDTF">2026-04-29T19:30:30Z</dcterms:modified>
</cp:coreProperties>
</file>